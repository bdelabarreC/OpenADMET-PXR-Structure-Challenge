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defaultThemeVersion="202300"/>
  <mc:AlternateContent xmlns:mc="http://schemas.openxmlformats.org/markup-compatibility/2006">
    <mc:Choice Requires="x15">
      <x15ac:absPath xmlns:x15ac="http://schemas.microsoft.com/office/spreadsheetml/2010/11/ac" url="G:\My Drive\Projects\open_admet\pxr\"/>
    </mc:Choice>
  </mc:AlternateContent>
  <xr:revisionPtr revIDLastSave="0" documentId="13_ncr:1_{2FFBCD57-4B51-401E-B21A-866D6565EF76}" xr6:coauthVersionLast="47" xr6:coauthVersionMax="47" xr10:uidLastSave="{00000000-0000-0000-0000-000000000000}"/>
  <bookViews>
    <workbookView xWindow="-6770" yWindow="-21710" windowWidth="38620" windowHeight="21100" xr2:uid="{58A85CA8-C657-4EF2-8863-04CE2E52EE30}"/>
  </bookViews>
  <sheets>
    <sheet name="Updated" sheetId="1" r:id="rId1"/>
  </sheets>
  <definedNames>
    <definedName name="_xlnm._FilterDatabase" localSheetId="0" hidden="1">Updated!$A$5:$N$29</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H27" i="1" l="1"/>
  <c r="H25" i="1"/>
  <c r="H26" i="1"/>
  <c r="H24" i="1"/>
  <c r="H23" i="1"/>
  <c r="H22" i="1"/>
  <c r="H21" i="1"/>
  <c r="H20" i="1"/>
  <c r="H19" i="1"/>
  <c r="H18" i="1"/>
  <c r="H17" i="1"/>
  <c r="H16" i="1"/>
  <c r="H15" i="1"/>
  <c r="H14" i="1"/>
  <c r="H13" i="1"/>
  <c r="H12" i="1"/>
  <c r="H11" i="1"/>
  <c r="H10" i="1"/>
  <c r="H9" i="1"/>
  <c r="H8" i="1"/>
  <c r="H7" i="1"/>
  <c r="H6" i="1"/>
</calcChain>
</file>

<file path=xl/sharedStrings.xml><?xml version="1.0" encoding="utf-8"?>
<sst xmlns="http://schemas.openxmlformats.org/spreadsheetml/2006/main" count="152" uniqueCount="113">
  <si>
    <t>Position</t>
  </si>
  <si>
    <t>username</t>
  </si>
  <si>
    <t>Submitted</t>
  </si>
  <si>
    <t>LDDT-PLI</t>
  </si>
  <si>
    <t>BiSyRMSD</t>
  </si>
  <si>
    <t>LDDT-LP</t>
  </si>
  <si>
    <t>Coverage</t>
  </si>
  <si>
    <t>Method</t>
  </si>
  <si>
    <t>TCB</t>
  </si>
  <si>
    <t>2026-05-26 17:00 UTC</t>
  </si>
  <si>
    <t>Protenix</t>
  </si>
  <si>
    <t>protinex - using default settings with protenix_base_default_v1.0.0. (submission 8)</t>
  </si>
  <si>
    <t>2026-05-27 13:02 UTC</t>
  </si>
  <si>
    <t>protinex - 4 scaffolds and 4x larger run and careful screening of ligand geometry</t>
  </si>
  <si>
    <t>2026-06-26 15:42 UTC</t>
  </si>
  <si>
    <t>protenix - default settings, checkpoint1, no template, 50 run, picked to iptm per cluster</t>
  </si>
  <si>
    <t>2026-05-31 17:53 UTC</t>
  </si>
  <si>
    <t>protenix /8 seeds / longrun(?)</t>
  </si>
  <si>
    <t>2026-06-24 23:45 UTC</t>
  </si>
  <si>
    <t>protenix - ckpt 1ran 50 vs checkpoint1, clustered and picked top median cluster centroid</t>
  </si>
  <si>
    <t>2026-06-25 12:59 UTC</t>
  </si>
  <si>
    <t>protenix - ckpt2 ran 50 vs checkpoint2, clustered and picked top iptm from each cluster</t>
  </si>
  <si>
    <t>2026-06-26 21:07 UTC</t>
  </si>
  <si>
    <t>protenix- ckpt1 ran 50 vs checkpoint2, picked top global</t>
  </si>
  <si>
    <t>2026-06-25 19:42 UTC</t>
  </si>
  <si>
    <t>protenix - ckpt1 ran 50 per ligand vs checkpoint1, no cluster, picked top iptm globally</t>
  </si>
  <si>
    <t>2026-05-31 13:20 UTC</t>
  </si>
  <si>
    <t>protenix / 8 seeds / 20 cycles / PH4 selection dominates</t>
  </si>
  <si>
    <t>2026-06-22 22:39 UTC</t>
  </si>
  <si>
    <t>OpenFold3</t>
  </si>
  <si>
    <t>2026-05-28 21:53 UTC</t>
  </si>
  <si>
    <t xml:space="preserve">protinex - 4 scaffolds, used highest score &amp; fixed ligand geometry with rdkit.  </t>
  </si>
  <si>
    <t>2026-06-23 22:29 UTC</t>
  </si>
  <si>
    <t>2026-06-28 00:00 UTC</t>
  </si>
  <si>
    <t>protenix / ckpt2 / no template / ran 25 /  top cluster iptm (very close to global top iptm)</t>
  </si>
  <si>
    <t>2026-06-17 04:08 UTC</t>
  </si>
  <si>
    <t xml:space="preserve">fine tuned openfold3 (first attempt, using 0-100 checkpoint)/ best of 10 submission </t>
  </si>
  <si>
    <t>2026-05-20 19:24 UTC</t>
  </si>
  <si>
    <t>Openfold3 cofold, using single template (1HO?)</t>
  </si>
  <si>
    <t>2026-06-26 09:56 UTC</t>
  </si>
  <si>
    <t>protenix checkpoint v2 model 50 samples with template with tfg.  Top iptm in cluster</t>
  </si>
  <si>
    <t>2026-05-06 15:59 UTC</t>
  </si>
  <si>
    <t>Boltz2</t>
  </si>
  <si>
    <t>Boltz2 cofold, using roshambo2 selected templates</t>
  </si>
  <si>
    <t>2026-05-08 21:12 UTC</t>
  </si>
  <si>
    <t>direct ligand placement followed by openmm minimization step</t>
  </si>
  <si>
    <t>2026-06-23 18:27 UTC</t>
  </si>
  <si>
    <t>openfold second attempt, using fineslice tuning (~90 cycles)</t>
  </si>
  <si>
    <t>openadmet-boltz-baseline</t>
  </si>
  <si>
    <t>2026-04-24 04:56 UTC</t>
  </si>
  <si>
    <t>2026-04-28 22:01 UTC</t>
  </si>
  <si>
    <t>direct ligand placement after Roshambo2 match</t>
  </si>
  <si>
    <t>N1NC1O</t>
  </si>
  <si>
    <t>2026-05-26 16:54 UTC</t>
  </si>
  <si>
    <t>Direct (Docking)</t>
  </si>
  <si>
    <t>All entries submitted to OpenAdmet's PXR structure prediction challenge (2026 May -June)</t>
  </si>
  <si>
    <t xml:space="preserve">Docking baseline:  This entry (from another group) was done using finetuned SMINA. </t>
  </si>
  <si>
    <t>Boltz2 baseline (from another group)</t>
  </si>
  <si>
    <t>Direct (Shape/PH4 Fit)</t>
  </si>
  <si>
    <t>Notes</t>
  </si>
  <si>
    <r>
      <t>Scoring during competion was based on only half of the ligands but predictions were submitted for the full 184 set.  The scoring of the full 184 set was the basis for the final competiion ranking (</t>
    </r>
    <r>
      <rPr>
        <b/>
        <sz val="14"/>
        <color theme="1"/>
        <rFont val="Aptos Narrow"/>
        <family val="2"/>
        <scheme val="minor"/>
      </rPr>
      <t>LDDT-PLI 0.4658 ± 0.0184 up 19th out of ~100</t>
    </r>
    <r>
      <rPr>
        <sz val="14"/>
        <color theme="1"/>
        <rFont val="Aptos Narrow"/>
        <family val="2"/>
        <scheme val="minor"/>
      </rPr>
      <t>).</t>
    </r>
  </si>
  <si>
    <t>LDDT-PLI Difference to My Top score (error is ~0.018)</t>
  </si>
  <si>
    <t>run8</t>
  </si>
  <si>
    <t>182/184 scored | mean best 3.10 | median 2.76 | succ@2A 37%</t>
  </si>
  <si>
    <t>Run</t>
  </si>
  <si>
    <t>run9</t>
  </si>
  <si>
    <t>182/184 scored | mean best 3.15 | median 2.61 | succ@2A 40%</t>
  </si>
  <si>
    <t>run10</t>
  </si>
  <si>
    <t>run12</t>
  </si>
  <si>
    <t>182/184 scored | mean best 3.33 | median 3.01 | succ@2A 32%</t>
  </si>
  <si>
    <t>Submission File</t>
  </si>
  <si>
    <t>PXR_structurerack_BSD_07.zip</t>
  </si>
  <si>
    <t>PXR_structuretrack_BSD_03.zip</t>
  </si>
  <si>
    <t>submission_round3.zip</t>
  </si>
  <si>
    <t>PXR_structuretrack_BSD_09.zip</t>
  </si>
  <si>
    <t>PXR_structuretrack_BSD_10.zip</t>
  </si>
  <si>
    <t>PXR_structuretrack_BSD_12_ph4model1.zip</t>
  </si>
  <si>
    <t>PXR_structuretrack_BSD_14_topIPTM_longrun_LDDT0x516.zip</t>
  </si>
  <si>
    <t>PXR_structuretrack_BSD_20_AF3_tune1.zip</t>
  </si>
  <si>
    <t>PXR_structuretrack_BSD_21_AF3_tune2.zip</t>
  </si>
  <si>
    <t>PXR_structuretrack_BSD_22_AF3_tune2B.zip</t>
  </si>
  <si>
    <t>PXR_structuretrack_BSD_23_AF3_tune2C.zip</t>
  </si>
  <si>
    <t>PXR_structuretrack_BSD_24_ptx_clusteredmedian.zip</t>
  </si>
  <si>
    <t>PXR_structuretrack_BSD_25_ptx_clusteredtop.zip</t>
  </si>
  <si>
    <t>PXR_structuretrack_BSD_26_ptx_globaltop.zip</t>
  </si>
  <si>
    <t>PXR_structuretrack_BSD_27_ptxv2_clustertop.zip</t>
  </si>
  <si>
    <t>PXR_structuretrack_BSD_28_ptxv1_notemp_clustertop.zip</t>
  </si>
  <si>
    <t>PXR_structuretrack_BSD_29_ptxv1_notemp_globaltop.zip</t>
  </si>
  <si>
    <t>PXR_structuretrack_BSD_30_ptxv2_notemp_clustertop.zip</t>
  </si>
  <si>
    <t>PXR_structuretrack_BSD_02.zip</t>
  </si>
  <si>
    <t>n/a</t>
  </si>
  <si>
    <t xml:space="preserve">PXR_structuretrack_BSD_08_LDDT0x5267.zip </t>
  </si>
  <si>
    <t>Evaluation full output vs 184</t>
  </si>
  <si>
    <t>Evaluation of submission files only</t>
  </si>
  <si>
    <t>181/184 scored | mean best 4.28 | median 3.99 | succ@2A 20%</t>
  </si>
  <si>
    <t>184/184 scored | mean best 4.15 | median 3.70 | succ@2A 20%</t>
  </si>
  <si>
    <t>184/184 scored | mean best 4.24 | median 3.98 | succ@2A 18%</t>
  </si>
  <si>
    <t>182/184 scored | mean best 4.22 | median 3.98 | succ@2A 18%</t>
  </si>
  <si>
    <t>182/184 scored | mean best 4.23 | median 3.95 | succ@2A 17%</t>
  </si>
  <si>
    <t>184/184 scored | mean best 4.40 | median 3.95 | succ@2A 16%</t>
  </si>
  <si>
    <t>184/184 scored | mean best 4.46 | median 4.15 | succ@2A 18%</t>
  </si>
  <si>
    <t>184/184 scored | mean best 4.38 | median 4.07 | succ@2A 15%</t>
  </si>
  <si>
    <t>184/184 scored | mean best 4.43 | median 4.16 | succ@2A 14%</t>
  </si>
  <si>
    <t>184/184 scored | mean best 5.83 | median 6.26 | succ@2A 3%</t>
  </si>
  <si>
    <t>182/184 scored | mean best 4.22 | median 4.04 | succ@2A 19%</t>
  </si>
  <si>
    <t>184/184 scored | mean best 3.70 | median 3.26 | succ@2A 23%</t>
  </si>
  <si>
    <t>182/184 scored | mean best 4.25 | median 3.89 | succ@2A 14%</t>
  </si>
  <si>
    <t>ckpt_12_52</t>
  </si>
  <si>
    <t>ckpt_3_16</t>
  </si>
  <si>
    <t>ckpt_22_92</t>
  </si>
  <si>
    <t>openfold second attempt, using fineslice tuning (52 cycles)</t>
  </si>
  <si>
    <t>openfold - fine slice tuning with short cycles (16)</t>
  </si>
  <si>
    <t>184/184 scored | mean best 3.08 | median 2.71 | succ@2A 37%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</si>
</sst>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
  </numFmts>
  <fonts count="14" x14ac:knownFonts="1">
    <font>
      <sz val="11"/>
      <color theme="1"/>
      <name val="Aptos Narrow"/>
      <family val="2"/>
      <scheme val="minor"/>
    </font>
    <font>
      <b/>
      <sz val="11"/>
      <color theme="1"/>
      <name val="Aptos Narrow"/>
      <family val="2"/>
      <scheme val="minor"/>
    </font>
    <font>
      <b/>
      <sz val="12"/>
      <color rgb="FF27272A"/>
      <name val="Consolas"/>
      <family val="3"/>
    </font>
    <font>
      <sz val="12"/>
      <color rgb="FF27272A"/>
      <name val="Consolas"/>
      <family val="3"/>
    </font>
    <font>
      <sz val="12"/>
      <color theme="1"/>
      <name val="Aptos Narrow"/>
      <family val="2"/>
      <scheme val="minor"/>
    </font>
    <font>
      <sz val="14"/>
      <color rgb="FF000000"/>
      <name val="Arial"/>
      <family val="2"/>
    </font>
    <font>
      <sz val="14"/>
      <color theme="1"/>
      <name val="Aptos Narrow"/>
      <family val="2"/>
      <scheme val="minor"/>
    </font>
    <font>
      <sz val="18"/>
      <color theme="1"/>
      <name val="Aptos Narrow"/>
      <family val="2"/>
      <scheme val="minor"/>
    </font>
    <font>
      <b/>
      <u/>
      <sz val="14"/>
      <color theme="1"/>
      <name val="Aptos Narrow"/>
      <family val="2"/>
      <scheme val="minor"/>
    </font>
    <font>
      <b/>
      <sz val="14"/>
      <color theme="1"/>
      <name val="Aptos Narrow"/>
      <family val="2"/>
      <scheme val="minor"/>
    </font>
    <font>
      <sz val="12"/>
      <color theme="1"/>
      <name val="Aptos Display"/>
      <family val="2"/>
      <scheme val="major"/>
    </font>
    <font>
      <sz val="8"/>
      <color theme="1"/>
      <name val="Aptos Narrow"/>
      <family val="2"/>
      <scheme val="minor"/>
    </font>
    <font>
      <b/>
      <u/>
      <sz val="8"/>
      <color theme="1"/>
      <name val="Aptos Narrow"/>
      <family val="2"/>
      <scheme val="minor"/>
    </font>
    <font>
      <u/>
      <sz val="14"/>
      <color theme="1"/>
      <name val="Aptos Narrow"/>
      <family val="2"/>
      <scheme val="minor"/>
    </font>
  </fonts>
  <fills count="11">
    <fill>
      <patternFill patternType="none"/>
    </fill>
    <fill>
      <patternFill patternType="gray125"/>
    </fill>
    <fill>
      <patternFill patternType="solid">
        <fgColor rgb="FFFFFFFF"/>
        <bgColor indexed="64"/>
      </patternFill>
    </fill>
    <fill>
      <patternFill patternType="solid">
        <fgColor rgb="FFFFFF00"/>
        <bgColor indexed="64"/>
      </patternFill>
    </fill>
    <fill>
      <patternFill patternType="solid">
        <fgColor theme="9" tint="0.59999389629810485"/>
        <bgColor indexed="64"/>
      </patternFill>
    </fill>
    <fill>
      <patternFill patternType="solid">
        <fgColor theme="8" tint="0.39997558519241921"/>
        <bgColor indexed="64"/>
      </patternFill>
    </fill>
    <fill>
      <patternFill patternType="solid">
        <fgColor theme="5" tint="0.39997558519241921"/>
        <bgColor indexed="64"/>
      </patternFill>
    </fill>
    <fill>
      <patternFill patternType="solid">
        <fgColor theme="2"/>
        <bgColor indexed="64"/>
      </patternFill>
    </fill>
    <fill>
      <patternFill patternType="solid">
        <fgColor theme="3" tint="0.749992370372631"/>
        <bgColor indexed="64"/>
      </patternFill>
    </fill>
    <fill>
      <patternFill patternType="solid">
        <fgColor rgb="FFFF9900"/>
        <bgColor indexed="64"/>
      </patternFill>
    </fill>
    <fill>
      <patternFill patternType="solid">
        <fgColor theme="0" tint="-0.249977111117893"/>
        <bgColor indexed="64"/>
      </patternFill>
    </fill>
  </fills>
  <borders count="1">
    <border>
      <left/>
      <right/>
      <top/>
      <bottom/>
      <diagonal/>
    </border>
  </borders>
  <cellStyleXfs count="1">
    <xf numFmtId="0" fontId="0" fillId="0" borderId="0"/>
  </cellStyleXfs>
  <cellXfs count="58">
    <xf numFmtId="0" fontId="0" fillId="0" borderId="0" xfId="0"/>
    <xf numFmtId="0" fontId="0" fillId="0" borderId="0" xfId="0" applyAlignment="1">
      <alignment horizontal="center" vertical="center"/>
    </xf>
    <xf numFmtId="2" fontId="0" fillId="0" borderId="0" xfId="0" applyNumberFormat="1"/>
    <xf numFmtId="0" fontId="2" fillId="0" borderId="0" xfId="0" applyFont="1" applyAlignment="1">
      <alignment horizontal="center" vertical="center" wrapText="1"/>
    </xf>
    <xf numFmtId="0" fontId="3" fillId="2" borderId="0" xfId="0" applyFont="1" applyFill="1" applyAlignment="1">
      <alignment horizontal="center" vertical="center"/>
    </xf>
    <xf numFmtId="0" fontId="3" fillId="3" borderId="0" xfId="0" applyFont="1" applyFill="1" applyAlignment="1">
      <alignment horizontal="left" vertical="center"/>
    </xf>
    <xf numFmtId="0" fontId="3" fillId="4" borderId="0" xfId="0" applyFont="1" applyFill="1" applyAlignment="1">
      <alignment horizontal="left" vertical="center"/>
    </xf>
    <xf numFmtId="0" fontId="3" fillId="3" borderId="0" xfId="0" applyFont="1" applyFill="1" applyAlignment="1">
      <alignment horizontal="left"/>
    </xf>
    <xf numFmtId="0" fontId="3" fillId="5" borderId="0" xfId="0" applyFont="1" applyFill="1" applyAlignment="1">
      <alignment horizontal="left" vertical="center"/>
    </xf>
    <xf numFmtId="0" fontId="3" fillId="3" borderId="0" xfId="0" applyFont="1" applyFill="1" applyAlignment="1">
      <alignment horizontal="center" vertical="center"/>
    </xf>
    <xf numFmtId="0" fontId="4" fillId="0" borderId="0" xfId="0" applyFont="1"/>
    <xf numFmtId="0" fontId="3" fillId="6" borderId="0" xfId="0" applyFont="1" applyFill="1" applyAlignment="1">
      <alignment horizontal="left" vertical="center"/>
    </xf>
    <xf numFmtId="0" fontId="3" fillId="7" borderId="0" xfId="0" applyFont="1" applyFill="1" applyAlignment="1">
      <alignment horizontal="left" vertical="center"/>
    </xf>
    <xf numFmtId="0" fontId="3" fillId="0" borderId="0" xfId="0" applyFont="1" applyAlignment="1">
      <alignment horizontal="center" vertical="center"/>
    </xf>
    <xf numFmtId="0" fontId="3" fillId="0" borderId="0" xfId="0" applyFont="1" applyAlignment="1">
      <alignment horizontal="left" vertical="center"/>
    </xf>
    <xf numFmtId="164" fontId="3" fillId="0" borderId="0" xfId="0" applyNumberFormat="1" applyFont="1" applyAlignment="1">
      <alignment horizontal="left" vertical="center"/>
    </xf>
    <xf numFmtId="0" fontId="7" fillId="0" borderId="0" xfId="0" applyFont="1"/>
    <xf numFmtId="0" fontId="5" fillId="7" borderId="0" xfId="0" applyFont="1" applyFill="1"/>
    <xf numFmtId="0" fontId="3" fillId="8" borderId="0" xfId="0" applyFont="1" applyFill="1" applyAlignment="1">
      <alignment horizontal="left" vertical="center"/>
    </xf>
    <xf numFmtId="0" fontId="3" fillId="9" borderId="0" xfId="0" applyFont="1" applyFill="1" applyAlignment="1">
      <alignment horizontal="left" vertical="center"/>
    </xf>
    <xf numFmtId="0" fontId="2" fillId="10" borderId="0" xfId="0" applyFont="1" applyFill="1" applyAlignment="1">
      <alignment horizontal="center" vertical="center" wrapText="1"/>
    </xf>
    <xf numFmtId="2" fontId="2" fillId="10" borderId="0" xfId="0" applyNumberFormat="1" applyFont="1" applyFill="1" applyAlignment="1">
      <alignment horizontal="center" vertical="center" wrapText="1"/>
    </xf>
    <xf numFmtId="2" fontId="1" fillId="0" borderId="0" xfId="0" applyNumberFormat="1" applyFont="1" applyAlignment="1">
      <alignment horizontal="center"/>
    </xf>
    <xf numFmtId="2" fontId="3" fillId="9" borderId="0" xfId="0" applyNumberFormat="1" applyFont="1" applyFill="1" applyAlignment="1">
      <alignment horizontal="center" vertical="center"/>
    </xf>
    <xf numFmtId="2" fontId="3" fillId="3" borderId="0" xfId="0" applyNumberFormat="1" applyFont="1" applyFill="1" applyAlignment="1">
      <alignment horizontal="center" vertical="center"/>
    </xf>
    <xf numFmtId="2" fontId="3" fillId="3" borderId="0" xfId="0" applyNumberFormat="1" applyFont="1" applyFill="1" applyAlignment="1">
      <alignment horizontal="center"/>
    </xf>
    <xf numFmtId="2" fontId="3" fillId="7" borderId="0" xfId="0" applyNumberFormat="1" applyFont="1" applyFill="1" applyAlignment="1">
      <alignment horizontal="center" vertical="center"/>
    </xf>
    <xf numFmtId="0" fontId="3" fillId="9" borderId="0" xfId="0" applyFont="1" applyFill="1" applyAlignment="1">
      <alignment horizontal="center" vertical="center"/>
    </xf>
    <xf numFmtId="0" fontId="3" fillId="3" borderId="0" xfId="0" applyFont="1" applyFill="1" applyAlignment="1">
      <alignment horizontal="center"/>
    </xf>
    <xf numFmtId="0" fontId="0" fillId="7" borderId="0" xfId="0" applyFill="1" applyAlignment="1">
      <alignment horizontal="center"/>
    </xf>
    <xf numFmtId="0" fontId="3" fillId="7" borderId="0" xfId="0" applyFont="1" applyFill="1" applyAlignment="1">
      <alignment horizontal="center" vertical="center"/>
    </xf>
    <xf numFmtId="2" fontId="8" fillId="4" borderId="0" xfId="0" applyNumberFormat="1" applyFont="1" applyFill="1" applyAlignment="1">
      <alignment horizontal="center"/>
    </xf>
    <xf numFmtId="2" fontId="6" fillId="4" borderId="0" xfId="0" applyNumberFormat="1" applyFont="1" applyFill="1" applyAlignment="1">
      <alignment horizontal="center"/>
    </xf>
    <xf numFmtId="2" fontId="8" fillId="5" borderId="0" xfId="0" applyNumberFormat="1" applyFont="1" applyFill="1" applyAlignment="1">
      <alignment horizontal="center"/>
    </xf>
    <xf numFmtId="2" fontId="6" fillId="5" borderId="0" xfId="0" applyNumberFormat="1" applyFont="1" applyFill="1" applyAlignment="1">
      <alignment horizontal="center"/>
    </xf>
    <xf numFmtId="2" fontId="8" fillId="6" borderId="0" xfId="0" applyNumberFormat="1" applyFont="1" applyFill="1" applyAlignment="1">
      <alignment horizontal="center"/>
    </xf>
    <xf numFmtId="2" fontId="8" fillId="8" borderId="0" xfId="0" applyNumberFormat="1" applyFont="1" applyFill="1" applyAlignment="1">
      <alignment horizontal="center"/>
    </xf>
    <xf numFmtId="2" fontId="6" fillId="7" borderId="0" xfId="0" applyNumberFormat="1" applyFont="1" applyFill="1" applyAlignment="1">
      <alignment horizontal="center"/>
    </xf>
    <xf numFmtId="2" fontId="6" fillId="8" borderId="0" xfId="0" applyNumberFormat="1" applyFont="1" applyFill="1" applyAlignment="1">
      <alignment horizontal="center"/>
    </xf>
    <xf numFmtId="0" fontId="6" fillId="0" borderId="0" xfId="0" applyFont="1"/>
    <xf numFmtId="2" fontId="10" fillId="4" borderId="0" xfId="0" applyNumberFormat="1" applyFont="1" applyFill="1" applyAlignment="1">
      <alignment horizontal="center"/>
    </xf>
    <xf numFmtId="2" fontId="10" fillId="5" borderId="0" xfId="0" applyNumberFormat="1" applyFont="1" applyFill="1" applyAlignment="1">
      <alignment horizontal="center"/>
    </xf>
    <xf numFmtId="2" fontId="10" fillId="6" borderId="0" xfId="0" applyNumberFormat="1" applyFont="1" applyFill="1" applyAlignment="1">
      <alignment horizontal="center"/>
    </xf>
    <xf numFmtId="2" fontId="10" fillId="8" borderId="0" xfId="0" applyNumberFormat="1" applyFont="1" applyFill="1" applyAlignment="1">
      <alignment horizontal="center"/>
    </xf>
    <xf numFmtId="2" fontId="10" fillId="7" borderId="0" xfId="0" applyNumberFormat="1" applyFont="1" applyFill="1" applyAlignment="1">
      <alignment horizontal="center"/>
    </xf>
    <xf numFmtId="2" fontId="10" fillId="4" borderId="0" xfId="0" applyNumberFormat="1" applyFont="1" applyFill="1"/>
    <xf numFmtId="2" fontId="11" fillId="4" borderId="0" xfId="0" applyNumberFormat="1" applyFont="1" applyFill="1" applyAlignment="1">
      <alignment horizontal="center"/>
    </xf>
    <xf numFmtId="2" fontId="11" fillId="4" borderId="0" xfId="0" applyNumberFormat="1" applyFont="1" applyFill="1"/>
    <xf numFmtId="2" fontId="12" fillId="5" borderId="0" xfId="0" applyNumberFormat="1" applyFont="1" applyFill="1" applyAlignment="1">
      <alignment horizontal="center"/>
    </xf>
    <xf numFmtId="2" fontId="11" fillId="5" borderId="0" xfId="0" applyNumberFormat="1" applyFont="1" applyFill="1" applyAlignment="1">
      <alignment horizontal="center"/>
    </xf>
    <xf numFmtId="2" fontId="11" fillId="6" borderId="0" xfId="0" applyNumberFormat="1" applyFont="1" applyFill="1" applyAlignment="1">
      <alignment horizontal="center"/>
    </xf>
    <xf numFmtId="2" fontId="11" fillId="8" borderId="0" xfId="0" applyNumberFormat="1" applyFont="1" applyFill="1" applyAlignment="1">
      <alignment horizontal="center"/>
    </xf>
    <xf numFmtId="2" fontId="11" fillId="7" borderId="0" xfId="0" applyNumberFormat="1" applyFont="1" applyFill="1" applyAlignment="1">
      <alignment horizontal="center"/>
    </xf>
    <xf numFmtId="2" fontId="13" fillId="4" borderId="0" xfId="0" applyNumberFormat="1" applyFont="1" applyFill="1" applyAlignment="1">
      <alignment horizontal="center"/>
    </xf>
    <xf numFmtId="2" fontId="13" fillId="5" borderId="0" xfId="0" applyNumberFormat="1" applyFont="1" applyFill="1" applyAlignment="1">
      <alignment horizontal="center"/>
    </xf>
    <xf numFmtId="2" fontId="13" fillId="6" borderId="0" xfId="0" applyNumberFormat="1" applyFont="1" applyFill="1" applyAlignment="1">
      <alignment horizontal="center"/>
    </xf>
    <xf numFmtId="2" fontId="13" fillId="8" borderId="0" xfId="0" applyNumberFormat="1" applyFont="1" applyFill="1" applyAlignment="1">
      <alignment horizontal="center"/>
    </xf>
    <xf numFmtId="2" fontId="6" fillId="4" borderId="0" xfId="0" applyNumberFormat="1" applyFont="1" applyFill="1"/>
  </cellXfs>
  <cellStyles count="1">
    <cellStyle name="Normal" xfId="0" builtinId="0"/>
  </cellStyles>
  <dxfs count="0"/>
  <tableStyles count="0" defaultTableStyle="TableStyleMedium2" defaultPivotStyle="PivotStyleLight16"/>
  <colors>
    <mruColors>
      <color rgb="FFFF99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LDDT-LP Score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spPr>
            <a:ln w="38100" cap="rnd">
              <a:noFill/>
              <a:round/>
            </a:ln>
            <a:effectLst/>
          </c:spPr>
          <c:marker>
            <c:symbol val="circle"/>
            <c:size val="5"/>
            <c:spPr>
              <a:solidFill>
                <a:schemeClr val="accent1"/>
              </a:solidFill>
              <a:ln w="9525">
                <a:solidFill>
                  <a:schemeClr val="accent1"/>
                </a:solidFill>
              </a:ln>
              <a:effectLst/>
            </c:spPr>
          </c:marker>
          <c:yVal>
            <c:numRef>
              <c:f>Updated!$D$6:$D$27</c:f>
              <c:numCache>
                <c:formatCode>0.00</c:formatCode>
                <c:ptCount val="22"/>
                <c:pt idx="0">
                  <c:v>0.52669999999999995</c:v>
                </c:pt>
                <c:pt idx="1">
                  <c:v>0.52</c:v>
                </c:pt>
                <c:pt idx="2">
                  <c:v>0.51739999999999997</c:v>
                </c:pt>
                <c:pt idx="3">
                  <c:v>0.51619999999999999</c:v>
                </c:pt>
                <c:pt idx="4">
                  <c:v>0.51580000000000004</c:v>
                </c:pt>
                <c:pt idx="5">
                  <c:v>0.51390000000000002</c:v>
                </c:pt>
                <c:pt idx="6">
                  <c:v>0.50800000000000001</c:v>
                </c:pt>
                <c:pt idx="7">
                  <c:v>0.50760000000000005</c:v>
                </c:pt>
                <c:pt idx="8">
                  <c:v>0.49509999999999998</c:v>
                </c:pt>
                <c:pt idx="9">
                  <c:v>0.49390000000000001</c:v>
                </c:pt>
                <c:pt idx="10">
                  <c:v>0.49030000000000001</c:v>
                </c:pt>
                <c:pt idx="11">
                  <c:v>0.48170000000000002</c:v>
                </c:pt>
                <c:pt idx="12">
                  <c:v>0.48010000000000003</c:v>
                </c:pt>
                <c:pt idx="13">
                  <c:v>0.47539999999999999</c:v>
                </c:pt>
                <c:pt idx="14">
                  <c:v>0.4723</c:v>
                </c:pt>
                <c:pt idx="15">
                  <c:v>0.47210000000000002</c:v>
                </c:pt>
                <c:pt idx="16">
                  <c:v>0.47120000000000001</c:v>
                </c:pt>
                <c:pt idx="17">
                  <c:v>0.46450000000000002</c:v>
                </c:pt>
                <c:pt idx="18">
                  <c:v>0.46329999999999999</c:v>
                </c:pt>
                <c:pt idx="19">
                  <c:v>0.4632</c:v>
                </c:pt>
                <c:pt idx="20">
                  <c:v>0.31919999999999998</c:v>
                </c:pt>
                <c:pt idx="21">
                  <c:v>0.17979999999999999</c:v>
                </c:pt>
              </c:numCache>
            </c:numRef>
          </c:yVal>
          <c:smooth val="0"/>
          <c:extLst>
            <c:ext xmlns:c16="http://schemas.microsoft.com/office/drawing/2014/chart" uri="{C3380CC4-5D6E-409C-BE32-E72D297353CC}">
              <c16:uniqueId val="{00000000-16EC-4602-A023-8DDF7598F300}"/>
            </c:ext>
          </c:extLst>
        </c:ser>
        <c:dLbls>
          <c:showLegendKey val="0"/>
          <c:showVal val="0"/>
          <c:showCatName val="0"/>
          <c:showSerName val="0"/>
          <c:showPercent val="0"/>
          <c:showBubbleSize val="0"/>
        </c:dLbls>
        <c:axId val="1420753376"/>
        <c:axId val="1083860848"/>
      </c:scatterChart>
      <c:valAx>
        <c:axId val="1420753376"/>
        <c:scaling>
          <c:orientation val="minMax"/>
        </c:scaling>
        <c:delete val="0"/>
        <c:axPos val="b"/>
        <c:majorGridlines>
          <c:spPr>
            <a:ln w="9525" cap="flat" cmpd="sng" algn="ctr">
              <a:solidFill>
                <a:schemeClr val="tx1">
                  <a:lumMod val="15000"/>
                  <a:lumOff val="85000"/>
                </a:schemeClr>
              </a:solidFill>
              <a:round/>
            </a:ln>
            <a:effectLst/>
          </c:spPr>
        </c:majorGridlines>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3860848"/>
        <c:crosses val="autoZero"/>
        <c:crossBetween val="midCat"/>
      </c:valAx>
      <c:valAx>
        <c:axId val="1083860848"/>
        <c:scaling>
          <c:orientation val="minMax"/>
          <c:min val="0.30000000000000004"/>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20753376"/>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3</xdr:col>
      <xdr:colOff>22225</xdr:colOff>
      <xdr:row>27</xdr:row>
      <xdr:rowOff>136525</xdr:rowOff>
    </xdr:from>
    <xdr:to>
      <xdr:col>7</xdr:col>
      <xdr:colOff>403225</xdr:colOff>
      <xdr:row>42</xdr:row>
      <xdr:rowOff>9525</xdr:rowOff>
    </xdr:to>
    <xdr:graphicFrame macro="">
      <xdr:nvGraphicFramePr>
        <xdr:cNvPr id="6" name="Chart 5">
          <a:extLst>
            <a:ext uri="{FF2B5EF4-FFF2-40B4-BE49-F238E27FC236}">
              <a16:creationId xmlns:a16="http://schemas.microsoft.com/office/drawing/2014/main" id="{91E9768F-C512-0F4F-071B-845B0A26AE2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6C1556-172C-4D77-91AF-62C41FF4D2EF}">
  <dimension ref="A2:N28"/>
  <sheetViews>
    <sheetView tabSelected="1" topLeftCell="F1" workbookViewId="0">
      <selection activeCell="M13" sqref="M13"/>
    </sheetView>
  </sheetViews>
  <sheetFormatPr defaultRowHeight="15" x14ac:dyDescent="0.25"/>
  <cols>
    <col min="1" max="1" width="24.140625" style="1" hidden="1" customWidth="1"/>
    <col min="2" max="2" width="24.140625" customWidth="1"/>
    <col min="3" max="3" width="26.28515625" customWidth="1"/>
    <col min="4" max="4" width="16.42578125" customWidth="1"/>
    <col min="5" max="5" width="16.85546875" customWidth="1"/>
    <col min="6" max="6" width="15.5703125" customWidth="1"/>
    <col min="7" max="7" width="13.85546875" hidden="1" customWidth="1"/>
    <col min="8" max="8" width="12.7109375" style="2" customWidth="1"/>
    <col min="9" max="9" width="24.28515625" style="2" customWidth="1"/>
    <col min="10" max="10" width="19" style="2" customWidth="1"/>
    <col min="11" max="11" width="50" style="2" customWidth="1"/>
    <col min="12" max="12" width="62.42578125" style="2" customWidth="1"/>
    <col min="13" max="13" width="68.42578125" style="2" customWidth="1"/>
    <col min="14" max="14" width="125.28515625" customWidth="1"/>
  </cols>
  <sheetData>
    <row r="2" spans="1:14" ht="31.5" customHeight="1" x14ac:dyDescent="0.4">
      <c r="B2" s="16" t="s">
        <v>55</v>
      </c>
    </row>
    <row r="3" spans="1:14" ht="18.75" x14ac:dyDescent="0.3">
      <c r="B3" s="39" t="s">
        <v>60</v>
      </c>
    </row>
    <row r="5" spans="1:14" ht="47.25" x14ac:dyDescent="0.25">
      <c r="A5" s="3" t="s">
        <v>0</v>
      </c>
      <c r="B5" s="20" t="s">
        <v>1</v>
      </c>
      <c r="C5" s="20" t="s">
        <v>2</v>
      </c>
      <c r="D5" s="21" t="s">
        <v>3</v>
      </c>
      <c r="E5" s="20" t="s">
        <v>4</v>
      </c>
      <c r="F5" s="20" t="s">
        <v>5</v>
      </c>
      <c r="G5" s="20" t="s">
        <v>6</v>
      </c>
      <c r="H5" s="21" t="s">
        <v>61</v>
      </c>
      <c r="I5" s="21" t="s">
        <v>7</v>
      </c>
      <c r="J5" s="21" t="s">
        <v>64</v>
      </c>
      <c r="K5" s="21" t="s">
        <v>70</v>
      </c>
      <c r="L5" s="21" t="s">
        <v>93</v>
      </c>
      <c r="M5" s="21" t="s">
        <v>92</v>
      </c>
      <c r="N5" s="20" t="s">
        <v>59</v>
      </c>
    </row>
    <row r="6" spans="1:14" ht="18.75" x14ac:dyDescent="0.3">
      <c r="A6" s="4">
        <v>9</v>
      </c>
      <c r="B6" s="27" t="s">
        <v>8</v>
      </c>
      <c r="C6" s="19" t="s">
        <v>9</v>
      </c>
      <c r="D6" s="23">
        <v>0.52669999999999995</v>
      </c>
      <c r="E6" s="23">
        <v>3.7831000000000001</v>
      </c>
      <c r="F6" s="23">
        <v>0.90039999999999998</v>
      </c>
      <c r="G6" s="19">
        <v>1</v>
      </c>
      <c r="H6" s="22">
        <f t="shared" ref="H6:H27" si="0">D6-D$6</f>
        <v>0</v>
      </c>
      <c r="I6" s="31" t="s">
        <v>10</v>
      </c>
      <c r="J6" s="53"/>
      <c r="K6" s="46" t="s">
        <v>91</v>
      </c>
      <c r="L6" s="40" t="s">
        <v>94</v>
      </c>
      <c r="M6" s="31"/>
      <c r="N6" s="6" t="s">
        <v>11</v>
      </c>
    </row>
    <row r="7" spans="1:14" ht="18.75" x14ac:dyDescent="0.3">
      <c r="A7" s="4">
        <v>10</v>
      </c>
      <c r="B7" s="9" t="s">
        <v>8</v>
      </c>
      <c r="C7" s="5" t="s">
        <v>12</v>
      </c>
      <c r="D7" s="24">
        <v>0.52</v>
      </c>
      <c r="E7" s="24">
        <v>3.8843999999999999</v>
      </c>
      <c r="F7" s="24">
        <v>0.90269999999999995</v>
      </c>
      <c r="G7" s="5">
        <v>1</v>
      </c>
      <c r="H7" s="22">
        <f t="shared" si="0"/>
        <v>-6.6999999999999282E-3</v>
      </c>
      <c r="I7" s="32" t="s">
        <v>10</v>
      </c>
      <c r="J7" s="32"/>
      <c r="K7" s="46" t="s">
        <v>74</v>
      </c>
      <c r="L7" s="40"/>
      <c r="M7" s="32"/>
      <c r="N7" s="6" t="s">
        <v>13</v>
      </c>
    </row>
    <row r="8" spans="1:14" ht="18.75" x14ac:dyDescent="0.3">
      <c r="A8" s="4">
        <v>11</v>
      </c>
      <c r="B8" s="9" t="s">
        <v>8</v>
      </c>
      <c r="C8" s="5" t="s">
        <v>14</v>
      </c>
      <c r="D8" s="24">
        <v>0.51739999999999997</v>
      </c>
      <c r="E8" s="24">
        <v>3.8852000000000002</v>
      </c>
      <c r="F8" s="24">
        <v>0.90329999999999999</v>
      </c>
      <c r="G8" s="5">
        <v>1</v>
      </c>
      <c r="H8" s="22">
        <f t="shared" si="0"/>
        <v>-9.299999999999975E-3</v>
      </c>
      <c r="I8" s="32" t="s">
        <v>10</v>
      </c>
      <c r="J8" s="32" t="s">
        <v>67</v>
      </c>
      <c r="K8" s="46" t="s">
        <v>86</v>
      </c>
      <c r="L8" s="40" t="s">
        <v>97</v>
      </c>
      <c r="M8" s="57" t="s">
        <v>112</v>
      </c>
      <c r="N8" s="6" t="s">
        <v>15</v>
      </c>
    </row>
    <row r="9" spans="1:14" ht="18.75" x14ac:dyDescent="0.3">
      <c r="A9" s="4">
        <v>12</v>
      </c>
      <c r="B9" s="9" t="s">
        <v>8</v>
      </c>
      <c r="C9" s="5" t="s">
        <v>16</v>
      </c>
      <c r="D9" s="24">
        <v>0.51619999999999999</v>
      </c>
      <c r="E9" s="24">
        <v>3.9514999999999998</v>
      </c>
      <c r="F9" s="24">
        <v>0.90190000000000003</v>
      </c>
      <c r="G9" s="5">
        <v>1</v>
      </c>
      <c r="H9" s="22">
        <f t="shared" si="0"/>
        <v>-1.0499999999999954E-2</v>
      </c>
      <c r="I9" s="32" t="s">
        <v>10</v>
      </c>
      <c r="J9" s="32"/>
      <c r="K9" s="46" t="s">
        <v>77</v>
      </c>
      <c r="L9" s="40"/>
      <c r="M9" s="32"/>
      <c r="N9" s="6" t="s">
        <v>17</v>
      </c>
    </row>
    <row r="10" spans="1:14" ht="18.75" x14ac:dyDescent="0.3">
      <c r="A10" s="4">
        <v>13</v>
      </c>
      <c r="B10" s="9" t="s">
        <v>8</v>
      </c>
      <c r="C10" s="5" t="s">
        <v>18</v>
      </c>
      <c r="D10" s="24">
        <v>0.51580000000000004</v>
      </c>
      <c r="E10" s="24">
        <v>3.9194</v>
      </c>
      <c r="F10" s="24">
        <v>0.90549999999999997</v>
      </c>
      <c r="G10" s="5">
        <v>1</v>
      </c>
      <c r="H10" s="22">
        <f t="shared" si="0"/>
        <v>-1.089999999999991E-2</v>
      </c>
      <c r="I10" s="32" t="s">
        <v>10</v>
      </c>
      <c r="J10" s="32"/>
      <c r="K10" s="46" t="s">
        <v>82</v>
      </c>
      <c r="L10" s="40" t="s">
        <v>104</v>
      </c>
      <c r="M10" s="32"/>
      <c r="N10" s="6" t="s">
        <v>19</v>
      </c>
    </row>
    <row r="11" spans="1:14" ht="18.75" x14ac:dyDescent="0.3">
      <c r="A11" s="4">
        <v>14</v>
      </c>
      <c r="B11" s="9" t="s">
        <v>8</v>
      </c>
      <c r="C11" s="5" t="s">
        <v>20</v>
      </c>
      <c r="D11" s="24">
        <v>0.51390000000000002</v>
      </c>
      <c r="E11" s="24">
        <v>3.9076</v>
      </c>
      <c r="F11" s="24">
        <v>0.9032</v>
      </c>
      <c r="G11" s="5">
        <v>1</v>
      </c>
      <c r="H11" s="22">
        <f t="shared" si="0"/>
        <v>-1.2799999999999923E-2</v>
      </c>
      <c r="I11" s="32" t="s">
        <v>10</v>
      </c>
      <c r="J11" s="32" t="s">
        <v>62</v>
      </c>
      <c r="K11" s="46" t="s">
        <v>83</v>
      </c>
      <c r="L11" s="40" t="s">
        <v>98</v>
      </c>
      <c r="M11" s="32" t="s">
        <v>63</v>
      </c>
      <c r="N11" s="6" t="s">
        <v>21</v>
      </c>
    </row>
    <row r="12" spans="1:14" ht="18.75" x14ac:dyDescent="0.3">
      <c r="A12" s="4">
        <v>18</v>
      </c>
      <c r="B12" s="9" t="s">
        <v>8</v>
      </c>
      <c r="C12" s="5" t="s">
        <v>22</v>
      </c>
      <c r="D12" s="24">
        <v>0.50800000000000001</v>
      </c>
      <c r="E12" s="24">
        <v>3.9346999999999999</v>
      </c>
      <c r="F12" s="24">
        <v>0.9052</v>
      </c>
      <c r="G12" s="5">
        <v>1</v>
      </c>
      <c r="H12" s="22">
        <f t="shared" si="0"/>
        <v>-1.8699999999999939E-2</v>
      </c>
      <c r="I12" s="32" t="s">
        <v>10</v>
      </c>
      <c r="J12" s="32" t="s">
        <v>67</v>
      </c>
      <c r="K12" s="47" t="s">
        <v>87</v>
      </c>
      <c r="L12" s="45"/>
      <c r="M12" s="57" t="s">
        <v>112</v>
      </c>
      <c r="N12" s="6" t="s">
        <v>23</v>
      </c>
    </row>
    <row r="13" spans="1:14" ht="18.75" x14ac:dyDescent="0.3">
      <c r="A13" s="4">
        <v>19</v>
      </c>
      <c r="B13" s="9" t="s">
        <v>8</v>
      </c>
      <c r="C13" s="5" t="s">
        <v>24</v>
      </c>
      <c r="D13" s="24">
        <v>0.50760000000000005</v>
      </c>
      <c r="E13" s="24">
        <v>3.9864999999999999</v>
      </c>
      <c r="F13" s="24">
        <v>0.90249999999999997</v>
      </c>
      <c r="G13" s="5">
        <v>1</v>
      </c>
      <c r="H13" s="22">
        <f t="shared" si="0"/>
        <v>-1.9099999999999895E-2</v>
      </c>
      <c r="I13" s="32" t="s">
        <v>10</v>
      </c>
      <c r="J13" s="32"/>
      <c r="K13" s="46" t="s">
        <v>84</v>
      </c>
      <c r="L13" s="40"/>
      <c r="M13" s="32"/>
      <c r="N13" s="6" t="s">
        <v>25</v>
      </c>
    </row>
    <row r="14" spans="1:14" ht="18.75" x14ac:dyDescent="0.3">
      <c r="A14" s="4">
        <v>23</v>
      </c>
      <c r="B14" s="9" t="s">
        <v>8</v>
      </c>
      <c r="C14" s="5" t="s">
        <v>26</v>
      </c>
      <c r="D14" s="24">
        <v>0.49509999999999998</v>
      </c>
      <c r="E14" s="24">
        <v>4.0656999999999996</v>
      </c>
      <c r="F14" s="24">
        <v>0.90539999999999998</v>
      </c>
      <c r="G14" s="5">
        <v>1</v>
      </c>
      <c r="H14" s="22">
        <f t="shared" si="0"/>
        <v>-3.1599999999999961E-2</v>
      </c>
      <c r="I14" s="32" t="s">
        <v>10</v>
      </c>
      <c r="J14" s="32"/>
      <c r="K14" s="46" t="s">
        <v>76</v>
      </c>
      <c r="L14" s="40"/>
      <c r="M14" s="32"/>
      <c r="N14" s="6" t="s">
        <v>27</v>
      </c>
    </row>
    <row r="15" spans="1:14" ht="18.75" x14ac:dyDescent="0.3">
      <c r="A15" s="4">
        <v>24</v>
      </c>
      <c r="B15" s="28" t="s">
        <v>8</v>
      </c>
      <c r="C15" s="7" t="s">
        <v>28</v>
      </c>
      <c r="D15" s="25">
        <v>0.49390000000000001</v>
      </c>
      <c r="E15" s="25">
        <v>4.0774999999999997</v>
      </c>
      <c r="F15" s="25">
        <v>0.88390000000000002</v>
      </c>
      <c r="G15" s="7">
        <v>1</v>
      </c>
      <c r="H15" s="22">
        <f t="shared" si="0"/>
        <v>-3.279999999999994E-2</v>
      </c>
      <c r="I15" s="33" t="s">
        <v>29</v>
      </c>
      <c r="J15" s="54" t="s">
        <v>107</v>
      </c>
      <c r="K15" s="48" t="s">
        <v>79</v>
      </c>
      <c r="L15" s="41" t="s">
        <v>95</v>
      </c>
      <c r="M15" s="33"/>
      <c r="N15" s="8" t="s">
        <v>110</v>
      </c>
    </row>
    <row r="16" spans="1:14" ht="18.75" x14ac:dyDescent="0.3">
      <c r="A16" s="4">
        <v>25</v>
      </c>
      <c r="B16" s="9" t="s">
        <v>8</v>
      </c>
      <c r="C16" s="5" t="s">
        <v>30</v>
      </c>
      <c r="D16" s="24">
        <v>0.49030000000000001</v>
      </c>
      <c r="E16" s="24">
        <v>4.0252999999999997</v>
      </c>
      <c r="F16" s="24">
        <v>0.89839999999999998</v>
      </c>
      <c r="G16" s="5">
        <v>1</v>
      </c>
      <c r="H16" s="22">
        <f t="shared" si="0"/>
        <v>-3.6399999999999932E-2</v>
      </c>
      <c r="I16" s="32" t="s">
        <v>10</v>
      </c>
      <c r="J16" s="32"/>
      <c r="K16" s="46" t="s">
        <v>75</v>
      </c>
      <c r="L16" s="40"/>
      <c r="M16" s="32"/>
      <c r="N16" s="6" t="s">
        <v>31</v>
      </c>
    </row>
    <row r="17" spans="1:14" ht="18.75" x14ac:dyDescent="0.3">
      <c r="A17" s="4">
        <v>26</v>
      </c>
      <c r="B17" s="9" t="s">
        <v>8</v>
      </c>
      <c r="C17" s="5" t="s">
        <v>32</v>
      </c>
      <c r="D17" s="24">
        <v>0.48170000000000002</v>
      </c>
      <c r="E17" s="24">
        <v>4.1261000000000001</v>
      </c>
      <c r="F17" s="24">
        <v>0.87639999999999996</v>
      </c>
      <c r="G17" s="5">
        <v>1</v>
      </c>
      <c r="H17" s="22">
        <f t="shared" si="0"/>
        <v>-4.4999999999999929E-2</v>
      </c>
      <c r="I17" s="34" t="s">
        <v>29</v>
      </c>
      <c r="J17" s="34" t="s">
        <v>108</v>
      </c>
      <c r="K17" s="49" t="s">
        <v>81</v>
      </c>
      <c r="L17" s="41"/>
      <c r="M17" s="34"/>
      <c r="N17" s="8" t="s">
        <v>111</v>
      </c>
    </row>
    <row r="18" spans="1:14" ht="18.75" x14ac:dyDescent="0.3">
      <c r="A18" s="9">
        <v>26</v>
      </c>
      <c r="B18" s="9" t="s">
        <v>8</v>
      </c>
      <c r="C18" s="5" t="s">
        <v>33</v>
      </c>
      <c r="D18" s="24">
        <v>0.48010000000000003</v>
      </c>
      <c r="E18" s="24">
        <v>4.1456999999999997</v>
      </c>
      <c r="F18" s="24">
        <v>0.90259999999999996</v>
      </c>
      <c r="G18" s="5">
        <v>1</v>
      </c>
      <c r="H18" s="22">
        <f t="shared" si="0"/>
        <v>-4.6599999999999919E-2</v>
      </c>
      <c r="I18" s="32" t="s">
        <v>10</v>
      </c>
      <c r="J18" s="32" t="s">
        <v>68</v>
      </c>
      <c r="K18" s="46" t="s">
        <v>88</v>
      </c>
      <c r="L18" s="40" t="s">
        <v>99</v>
      </c>
      <c r="M18" s="32" t="s">
        <v>69</v>
      </c>
      <c r="N18" s="6" t="s">
        <v>34</v>
      </c>
    </row>
    <row r="19" spans="1:14" s="10" customFormat="1" ht="18.75" x14ac:dyDescent="0.3">
      <c r="A19" s="4">
        <v>28</v>
      </c>
      <c r="B19" s="9" t="s">
        <v>8</v>
      </c>
      <c r="C19" s="5" t="s">
        <v>35</v>
      </c>
      <c r="D19" s="24">
        <v>0.47539999999999999</v>
      </c>
      <c r="E19" s="24">
        <v>4.2713999999999999</v>
      </c>
      <c r="F19" s="24">
        <v>0.90529999999999999</v>
      </c>
      <c r="G19" s="5">
        <v>1</v>
      </c>
      <c r="H19" s="22">
        <f t="shared" si="0"/>
        <v>-5.1299999999999957E-2</v>
      </c>
      <c r="I19" s="34" t="s">
        <v>29</v>
      </c>
      <c r="J19" s="34"/>
      <c r="K19" s="49" t="s">
        <v>78</v>
      </c>
      <c r="L19" s="41"/>
      <c r="M19" s="34"/>
      <c r="N19" s="8" t="s">
        <v>36</v>
      </c>
    </row>
    <row r="20" spans="1:14" s="10" customFormat="1" ht="18.75" x14ac:dyDescent="0.3">
      <c r="A20" s="4">
        <v>29</v>
      </c>
      <c r="B20" s="9" t="s">
        <v>8</v>
      </c>
      <c r="C20" s="5" t="s">
        <v>37</v>
      </c>
      <c r="D20" s="24">
        <v>0.4723</v>
      </c>
      <c r="E20" s="24">
        <v>4.3452000000000002</v>
      </c>
      <c r="F20" s="24">
        <v>0.87509999999999999</v>
      </c>
      <c r="G20" s="5">
        <v>0.98909999999999998</v>
      </c>
      <c r="H20" s="22">
        <f t="shared" si="0"/>
        <v>-5.4399999999999948E-2</v>
      </c>
      <c r="I20" s="34" t="s">
        <v>29</v>
      </c>
      <c r="J20" s="34"/>
      <c r="K20" s="49" t="s">
        <v>71</v>
      </c>
      <c r="L20" s="41" t="s">
        <v>106</v>
      </c>
      <c r="M20" s="34" t="s">
        <v>105</v>
      </c>
      <c r="N20" s="8" t="s">
        <v>38</v>
      </c>
    </row>
    <row r="21" spans="1:14" ht="18.75" x14ac:dyDescent="0.3">
      <c r="A21" s="4">
        <v>30</v>
      </c>
      <c r="B21" s="9" t="s">
        <v>8</v>
      </c>
      <c r="C21" s="5" t="s">
        <v>39</v>
      </c>
      <c r="D21" s="24">
        <v>0.47210000000000002</v>
      </c>
      <c r="E21" s="24">
        <v>4.2112999999999996</v>
      </c>
      <c r="F21" s="24">
        <v>0.90429999999999999</v>
      </c>
      <c r="G21" s="5">
        <v>1</v>
      </c>
      <c r="H21" s="22">
        <f t="shared" si="0"/>
        <v>-5.4599999999999926E-2</v>
      </c>
      <c r="I21" s="32" t="s">
        <v>10</v>
      </c>
      <c r="J21" s="32" t="s">
        <v>65</v>
      </c>
      <c r="K21" s="46" t="s">
        <v>85</v>
      </c>
      <c r="L21" s="40" t="s">
        <v>100</v>
      </c>
      <c r="M21" s="32" t="s">
        <v>66</v>
      </c>
      <c r="N21" s="6" t="s">
        <v>40</v>
      </c>
    </row>
    <row r="22" spans="1:14" ht="18.75" x14ac:dyDescent="0.3">
      <c r="A22" s="4">
        <v>31</v>
      </c>
      <c r="B22" s="9" t="s">
        <v>8</v>
      </c>
      <c r="C22" s="5" t="s">
        <v>41</v>
      </c>
      <c r="D22" s="24">
        <v>0.47120000000000001</v>
      </c>
      <c r="E22" s="24">
        <v>4.1452</v>
      </c>
      <c r="F22" s="24">
        <v>0.91459999999999997</v>
      </c>
      <c r="G22" s="5">
        <v>1</v>
      </c>
      <c r="H22" s="22">
        <f t="shared" si="0"/>
        <v>-5.5499999999999938E-2</v>
      </c>
      <c r="I22" s="35" t="s">
        <v>42</v>
      </c>
      <c r="J22" s="55"/>
      <c r="K22" s="50" t="s">
        <v>72</v>
      </c>
      <c r="L22" s="42" t="s">
        <v>101</v>
      </c>
      <c r="M22" s="35"/>
      <c r="N22" s="11" t="s">
        <v>43</v>
      </c>
    </row>
    <row r="23" spans="1:14" ht="18.75" x14ac:dyDescent="0.3">
      <c r="A23" s="4">
        <v>36</v>
      </c>
      <c r="B23" s="9" t="s">
        <v>8</v>
      </c>
      <c r="C23" s="5" t="s">
        <v>44</v>
      </c>
      <c r="D23" s="24">
        <v>0.46450000000000002</v>
      </c>
      <c r="E23" s="24">
        <v>4.1875</v>
      </c>
      <c r="F23" s="24">
        <v>0.91249999999999998</v>
      </c>
      <c r="G23" s="5">
        <v>1</v>
      </c>
      <c r="H23" s="22">
        <f t="shared" si="0"/>
        <v>-6.2199999999999922E-2</v>
      </c>
      <c r="I23" s="36" t="s">
        <v>58</v>
      </c>
      <c r="J23" s="56"/>
      <c r="K23" s="51" t="s">
        <v>73</v>
      </c>
      <c r="L23" s="43" t="s">
        <v>102</v>
      </c>
      <c r="M23" s="36"/>
      <c r="N23" s="18" t="s">
        <v>45</v>
      </c>
    </row>
    <row r="24" spans="1:14" ht="18.75" x14ac:dyDescent="0.3">
      <c r="A24" s="4">
        <v>37</v>
      </c>
      <c r="B24" s="9" t="s">
        <v>8</v>
      </c>
      <c r="C24" s="5" t="s">
        <v>46</v>
      </c>
      <c r="D24" s="24">
        <v>0.46329999999999999</v>
      </c>
      <c r="E24" s="24">
        <v>4.3178999999999998</v>
      </c>
      <c r="F24" s="24">
        <v>0.8992</v>
      </c>
      <c r="G24" s="5">
        <v>1</v>
      </c>
      <c r="H24" s="22">
        <f t="shared" si="0"/>
        <v>-6.3399999999999956E-2</v>
      </c>
      <c r="I24" s="34" t="s">
        <v>29</v>
      </c>
      <c r="J24" s="34" t="s">
        <v>109</v>
      </c>
      <c r="K24" s="49" t="s">
        <v>80</v>
      </c>
      <c r="L24" s="41" t="s">
        <v>96</v>
      </c>
      <c r="M24" s="34"/>
      <c r="N24" s="8" t="s">
        <v>47</v>
      </c>
    </row>
    <row r="25" spans="1:14" ht="18.75" x14ac:dyDescent="0.3">
      <c r="A25" s="4">
        <v>38</v>
      </c>
      <c r="B25" s="29" t="s">
        <v>48</v>
      </c>
      <c r="C25" s="12" t="s">
        <v>49</v>
      </c>
      <c r="D25" s="26">
        <v>0.4632</v>
      </c>
      <c r="E25" s="26">
        <v>4.3108000000000004</v>
      </c>
      <c r="F25" s="26">
        <v>0.91400000000000003</v>
      </c>
      <c r="G25" s="12">
        <v>1</v>
      </c>
      <c r="H25" s="22">
        <f t="shared" si="0"/>
        <v>-6.3499999999999945E-2</v>
      </c>
      <c r="I25" s="37" t="s">
        <v>42</v>
      </c>
      <c r="J25" s="37"/>
      <c r="K25" s="52" t="s">
        <v>90</v>
      </c>
      <c r="L25" s="44"/>
      <c r="M25" s="37"/>
      <c r="N25" s="12" t="s">
        <v>57</v>
      </c>
    </row>
    <row r="26" spans="1:14" ht="18.75" x14ac:dyDescent="0.3">
      <c r="A26" s="4">
        <v>46</v>
      </c>
      <c r="B26" s="9" t="s">
        <v>8</v>
      </c>
      <c r="C26" s="5" t="s">
        <v>50</v>
      </c>
      <c r="D26" s="24">
        <v>0.31919999999999998</v>
      </c>
      <c r="E26" s="24">
        <v>5.508</v>
      </c>
      <c r="F26" s="24">
        <v>0.86960000000000004</v>
      </c>
      <c r="G26" s="5">
        <v>1</v>
      </c>
      <c r="H26" s="22">
        <f t="shared" si="0"/>
        <v>-0.20749999999999996</v>
      </c>
      <c r="I26" s="38" t="s">
        <v>58</v>
      </c>
      <c r="J26" s="38"/>
      <c r="K26" s="51" t="s">
        <v>89</v>
      </c>
      <c r="L26" s="43" t="s">
        <v>103</v>
      </c>
      <c r="M26" s="38"/>
      <c r="N26" s="18" t="s">
        <v>51</v>
      </c>
    </row>
    <row r="27" spans="1:14" ht="18.75" x14ac:dyDescent="0.3">
      <c r="A27" s="4">
        <v>48</v>
      </c>
      <c r="B27" s="30" t="s">
        <v>52</v>
      </c>
      <c r="C27" s="12" t="s">
        <v>53</v>
      </c>
      <c r="D27" s="26">
        <v>0.17979999999999999</v>
      </c>
      <c r="E27" s="26">
        <v>7.4055</v>
      </c>
      <c r="F27" s="26">
        <v>0.86799999999999999</v>
      </c>
      <c r="G27" s="12">
        <v>1</v>
      </c>
      <c r="H27" s="22">
        <f t="shared" si="0"/>
        <v>-0.34689999999999999</v>
      </c>
      <c r="I27" s="37" t="s">
        <v>54</v>
      </c>
      <c r="J27" s="37"/>
      <c r="K27" s="52" t="s">
        <v>90</v>
      </c>
      <c r="L27" s="44"/>
      <c r="M27" s="37"/>
      <c r="N27" s="17" t="s">
        <v>56</v>
      </c>
    </row>
    <row r="28" spans="1:14" ht="15.75" x14ac:dyDescent="0.25">
      <c r="A28" s="13"/>
      <c r="B28" s="14"/>
      <c r="C28" s="14"/>
      <c r="D28" s="15"/>
      <c r="E28" s="14"/>
      <c r="F28" s="14"/>
      <c r="G28" s="14"/>
      <c r="N28" s="14"/>
    </row>
  </sheetData>
  <autoFilter ref="A5:N29" xr:uid="{FE916E80-99BE-4E2B-8782-7EF96CB311D2}">
    <sortState xmlns:xlrd2="http://schemas.microsoft.com/office/spreadsheetml/2017/richdata2" ref="A6:N29">
      <sortCondition descending="1" ref="D5:D29"/>
    </sortState>
  </autoFilter>
  <pageMargins left="0.7" right="0.7" top="0.75" bottom="0.75" header="0.3" footer="0.3"/>
  <pageSetup orientation="portrait" horizontalDpi="0" verticalDpi="0"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Updated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Byron DeLaBarre</dc:creator>
  <cp:lastModifiedBy>Byron DeLaBarre</cp:lastModifiedBy>
  <dcterms:created xsi:type="dcterms:W3CDTF">2026-08-04T19:32:34Z</dcterms:created>
  <dcterms:modified xsi:type="dcterms:W3CDTF">2026-08-06T19:22:05Z</dcterms:modified>
</cp:coreProperties>
</file>