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defaultThemeVersion="202300"/>
  <mc:AlternateContent xmlns:mc="http://schemas.openxmlformats.org/markup-compatibility/2006">
    <mc:Choice Requires="x15">
      <x15ac:absPath xmlns:x15ac="http://schemas.microsoft.com/office/spreadsheetml/2010/11/ac" url="G:\My Drive\Projects\open_admet\pxr\"/>
    </mc:Choice>
  </mc:AlternateContent>
  <xr:revisionPtr revIDLastSave="0" documentId="13_ncr:1_{36D82CCD-1DA7-4E3E-B77D-91A2E2387629}" xr6:coauthVersionLast="47" xr6:coauthVersionMax="47" xr10:uidLastSave="{00000000-0000-0000-0000-000000000000}"/>
  <bookViews>
    <workbookView xWindow="-6770" yWindow="-21710" windowWidth="38620" windowHeight="21100" xr2:uid="{58A85CA8-C657-4EF2-8863-04CE2E52EE30}"/>
  </bookViews>
  <sheets>
    <sheet name="Updated" sheetId="1" r:id="rId1"/>
  </sheets>
  <externalReferences>
    <externalReference r:id="rId2"/>
  </externalReferences>
  <definedNames>
    <definedName name="_xlnm._FilterDatabase" localSheetId="0" hidden="1">Updated!$A$5:$J$29</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H27" i="1" l="1"/>
  <c r="H25" i="1"/>
  <c r="H26" i="1"/>
  <c r="H24" i="1"/>
  <c r="H23" i="1"/>
  <c r="H22" i="1"/>
  <c r="H21" i="1"/>
  <c r="H20" i="1"/>
  <c r="H19" i="1"/>
  <c r="H18" i="1"/>
  <c r="H17" i="1"/>
  <c r="H16" i="1"/>
  <c r="H15" i="1"/>
  <c r="H14" i="1"/>
  <c r="H13" i="1"/>
  <c r="H12" i="1"/>
  <c r="H11" i="1"/>
  <c r="H10" i="1"/>
  <c r="H9" i="1"/>
  <c r="H8" i="1"/>
  <c r="H7" i="1"/>
  <c r="H6" i="1"/>
</calcChain>
</file>

<file path=xl/sharedStrings.xml><?xml version="1.0" encoding="utf-8"?>
<sst xmlns="http://schemas.openxmlformats.org/spreadsheetml/2006/main" count="100" uniqueCount="64">
  <si>
    <t>Position</t>
  </si>
  <si>
    <t>username</t>
  </si>
  <si>
    <t>Submitted</t>
  </si>
  <si>
    <t>LDDT-PLI</t>
  </si>
  <si>
    <t>BiSyRMSD</t>
  </si>
  <si>
    <t>LDDT-LP</t>
  </si>
  <si>
    <t>Coverage</t>
  </si>
  <si>
    <t>Method</t>
  </si>
  <si>
    <t>TCB</t>
  </si>
  <si>
    <t>2026-05-26 17:00 UTC</t>
  </si>
  <si>
    <t>Protenix</t>
  </si>
  <si>
    <t>protinex - using default settings with protenix_base_default_v1.0.0. (submission 8)</t>
  </si>
  <si>
    <t>2026-05-27 13:02 UTC</t>
  </si>
  <si>
    <t>protinex - 4 scaffolds and 4x larger run and careful screening of ligand geometry</t>
  </si>
  <si>
    <t>2026-06-26 15:42 UTC</t>
  </si>
  <si>
    <t>protenix - default settings, checkpoint1, no template, 50 run, picked to iptm per cluster</t>
  </si>
  <si>
    <t>2026-05-31 17:53 UTC</t>
  </si>
  <si>
    <t>protenix /8 seeds / longrun(?)</t>
  </si>
  <si>
    <t>2026-06-24 23:45 UTC</t>
  </si>
  <si>
    <t>protenix - ckpt 1ran 50 vs checkpoint1, clustered and picked top median cluster centroid</t>
  </si>
  <si>
    <t>2026-06-25 12:59 UTC</t>
  </si>
  <si>
    <t>protenix - ckpt2 ran 50 vs checkpoint2, clustered and picked top iptm from each cluster</t>
  </si>
  <si>
    <t>2026-06-26 21:07 UTC</t>
  </si>
  <si>
    <t>protenix- ckpt1 ran 50 vs checkpoint2, picked top global</t>
  </si>
  <si>
    <t>2026-06-25 19:42 UTC</t>
  </si>
  <si>
    <t>protenix - ckpt1 ran 50 per ligand vs checkpoint1, no cluster, picked top iptm globally</t>
  </si>
  <si>
    <t>2026-05-31 13:20 UTC</t>
  </si>
  <si>
    <t>protenix / 8 seeds / 20 cycles / PH4 selection dominates</t>
  </si>
  <si>
    <t>2026-06-22 22:39 UTC</t>
  </si>
  <si>
    <t>OpenFold3</t>
  </si>
  <si>
    <t>openfold second attempt, using fineslice tuning (~60 cycles)</t>
  </si>
  <si>
    <t>2026-05-28 21:53 UTC</t>
  </si>
  <si>
    <t xml:space="preserve">protinex - 4 scaffolds, used highest score &amp; fixed ligand geometry with rdkit.  </t>
  </si>
  <si>
    <t>2026-06-23 22:29 UTC</t>
  </si>
  <si>
    <t>openfold - fine slice tuning with short cycles (~30)</t>
  </si>
  <si>
    <t>2026-06-28 00:00 UTC</t>
  </si>
  <si>
    <t>protenix / ckpt2 / no template / ran 25 /  top cluster iptm (very close to global top iptm)</t>
  </si>
  <si>
    <t>2026-06-17 04:08 UTC</t>
  </si>
  <si>
    <t xml:space="preserve">fine tuned openfold3 (first attempt, using 0-100 checkpoint)/ best of 10 submission </t>
  </si>
  <si>
    <t>2026-05-20 19:24 UTC</t>
  </si>
  <si>
    <t>Openfold3 cofold, using single template (1HO?)</t>
  </si>
  <si>
    <t>2026-06-26 09:56 UTC</t>
  </si>
  <si>
    <t>protenix checkpoint v2 model 50 samples with template with tfg.  Top iptm in cluster</t>
  </si>
  <si>
    <t>2026-05-06 15:59 UTC</t>
  </si>
  <si>
    <t>Boltz2</t>
  </si>
  <si>
    <t>Boltz2 cofold, using roshambo2 selected templates</t>
  </si>
  <si>
    <t>2026-05-08 21:12 UTC</t>
  </si>
  <si>
    <t>direct ligand placement followed by openmm minimization step</t>
  </si>
  <si>
    <t>2026-06-23 18:27 UTC</t>
  </si>
  <si>
    <t>openfold second attempt, using fineslice tuning (~90 cycles)</t>
  </si>
  <si>
    <t>openadmet-boltz-baseline</t>
  </si>
  <si>
    <t>2026-04-24 04:56 UTC</t>
  </si>
  <si>
    <t>2026-04-28 22:01 UTC</t>
  </si>
  <si>
    <t>direct ligand placement after Roshambo2 match</t>
  </si>
  <si>
    <t>N1NC1O</t>
  </si>
  <si>
    <t>2026-05-26 16:54 UTC</t>
  </si>
  <si>
    <t>Direct (Docking)</t>
  </si>
  <si>
    <t>All entries submitted to OpenAdmet's PXR structure prediction challenge (2026 May -June)</t>
  </si>
  <si>
    <t xml:space="preserve">Docking baseline:  This entry (from another group) was done using finetuned SMINA. </t>
  </si>
  <si>
    <t>Boltz2 baseline (from another group)</t>
  </si>
  <si>
    <t>Direct (Shape/PH4 Fit)</t>
  </si>
  <si>
    <t>Notes</t>
  </si>
  <si>
    <r>
      <t>Scoring during competion was based on only half of the ligands but predictions were submitted for the full 184 set.  The scoring of the full 184 set was the basis for the final competiion ranking (</t>
    </r>
    <r>
      <rPr>
        <b/>
        <sz val="14"/>
        <color theme="1"/>
        <rFont val="Aptos Narrow"/>
        <family val="2"/>
        <scheme val="minor"/>
      </rPr>
      <t>LDDT-PLI 0.4658 ± 0.0184 up 19th out of ~100</t>
    </r>
    <r>
      <rPr>
        <sz val="14"/>
        <color theme="1"/>
        <rFont val="Aptos Narrow"/>
        <family val="2"/>
        <scheme val="minor"/>
      </rPr>
      <t>).</t>
    </r>
  </si>
  <si>
    <t>LDDT-PLI Difference to My Top score (error is ~0.018)</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</si>
</sst>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00"/>
  </numFmts>
  <fonts count="10" x14ac:knownFonts="1">
    <font>
      <sz val="11"/>
      <color theme="1"/>
      <name val="Aptos Narrow"/>
      <family val="2"/>
      <scheme val="minor"/>
    </font>
    <font>
      <b/>
      <sz val="11"/>
      <color theme="1"/>
      <name val="Aptos Narrow"/>
      <family val="2"/>
      <scheme val="minor"/>
    </font>
    <font>
      <b/>
      <sz val="12"/>
      <color rgb="FF27272A"/>
      <name val="Consolas"/>
      <family val="3"/>
    </font>
    <font>
      <sz val="12"/>
      <color rgb="FF27272A"/>
      <name val="Consolas"/>
      <family val="3"/>
    </font>
    <font>
      <sz val="12"/>
      <color theme="1"/>
      <name val="Aptos Narrow"/>
      <family val="2"/>
      <scheme val="minor"/>
    </font>
    <font>
      <sz val="14"/>
      <color rgb="FF000000"/>
      <name val="Arial"/>
      <family val="2"/>
    </font>
    <font>
      <sz val="14"/>
      <color theme="1"/>
      <name val="Aptos Narrow"/>
      <family val="2"/>
      <scheme val="minor"/>
    </font>
    <font>
      <sz val="18"/>
      <color theme="1"/>
      <name val="Aptos Narrow"/>
      <family val="2"/>
      <scheme val="minor"/>
    </font>
    <font>
      <b/>
      <u/>
      <sz val="14"/>
      <color theme="1"/>
      <name val="Aptos Narrow"/>
      <family val="2"/>
      <scheme val="minor"/>
    </font>
    <font>
      <b/>
      <sz val="14"/>
      <color theme="1"/>
      <name val="Aptos Narrow"/>
      <family val="2"/>
      <scheme val="minor"/>
    </font>
  </fonts>
  <fills count="11">
    <fill>
      <patternFill patternType="none"/>
    </fill>
    <fill>
      <patternFill patternType="gray125"/>
    </fill>
    <fill>
      <patternFill patternType="solid">
        <fgColor rgb="FFFFFFFF"/>
        <bgColor indexed="64"/>
      </patternFill>
    </fill>
    <fill>
      <patternFill patternType="solid">
        <fgColor rgb="FFFFFF00"/>
        <bgColor indexed="64"/>
      </patternFill>
    </fill>
    <fill>
      <patternFill patternType="solid">
        <fgColor theme="9" tint="0.59999389629810485"/>
        <bgColor indexed="64"/>
      </patternFill>
    </fill>
    <fill>
      <patternFill patternType="solid">
        <fgColor theme="8" tint="0.39997558519241921"/>
        <bgColor indexed="64"/>
      </patternFill>
    </fill>
    <fill>
      <patternFill patternType="solid">
        <fgColor theme="5" tint="0.39997558519241921"/>
        <bgColor indexed="64"/>
      </patternFill>
    </fill>
    <fill>
      <patternFill patternType="solid">
        <fgColor theme="2"/>
        <bgColor indexed="64"/>
      </patternFill>
    </fill>
    <fill>
      <patternFill patternType="solid">
        <fgColor theme="3" tint="0.749992370372631"/>
        <bgColor indexed="64"/>
      </patternFill>
    </fill>
    <fill>
      <patternFill patternType="solid">
        <fgColor rgb="FFFF9900"/>
        <bgColor indexed="64"/>
      </patternFill>
    </fill>
    <fill>
      <patternFill patternType="solid">
        <fgColor theme="0" tint="-0.249977111117893"/>
        <bgColor indexed="64"/>
      </patternFill>
    </fill>
  </fills>
  <borders count="1">
    <border>
      <left/>
      <right/>
      <top/>
      <bottom/>
      <diagonal/>
    </border>
  </borders>
  <cellStyleXfs count="1">
    <xf numFmtId="0" fontId="0" fillId="0" borderId="0"/>
  </cellStyleXfs>
  <cellXfs count="42">
    <xf numFmtId="0" fontId="0" fillId="0" borderId="0" xfId="0"/>
    <xf numFmtId="0" fontId="0" fillId="0" borderId="0" xfId="0" applyAlignment="1">
      <alignment horizontal="center" vertical="center"/>
    </xf>
    <xf numFmtId="2" fontId="0" fillId="0" borderId="0" xfId="0" applyNumberFormat="1"/>
    <xf numFmtId="0" fontId="2" fillId="0" borderId="0" xfId="0" applyFont="1" applyAlignment="1">
      <alignment horizontal="center" vertical="center" wrapText="1"/>
    </xf>
    <xf numFmtId="0" fontId="3" fillId="2" borderId="0" xfId="0" applyFont="1" applyFill="1" applyAlignment="1">
      <alignment horizontal="center" vertical="center"/>
    </xf>
    <xf numFmtId="0" fontId="3" fillId="3" borderId="0" xfId="0" applyFont="1" applyFill="1" applyAlignment="1">
      <alignment horizontal="left" vertical="center"/>
    </xf>
    <xf numFmtId="0" fontId="3" fillId="4" borderId="0" xfId="0" applyFont="1" applyFill="1" applyAlignment="1">
      <alignment horizontal="left" vertical="center"/>
    </xf>
    <xf numFmtId="0" fontId="3" fillId="3" borderId="0" xfId="0" applyFont="1" applyFill="1" applyAlignment="1">
      <alignment horizontal="left"/>
    </xf>
    <xf numFmtId="0" fontId="3" fillId="5" borderId="0" xfId="0" applyFont="1" applyFill="1" applyAlignment="1">
      <alignment horizontal="left" vertical="center"/>
    </xf>
    <xf numFmtId="0" fontId="3" fillId="3" borderId="0" xfId="0" applyFont="1" applyFill="1" applyAlignment="1">
      <alignment horizontal="center" vertical="center"/>
    </xf>
    <xf numFmtId="0" fontId="4" fillId="0" borderId="0" xfId="0" applyFont="1"/>
    <xf numFmtId="0" fontId="3" fillId="6" borderId="0" xfId="0" applyFont="1" applyFill="1" applyAlignment="1">
      <alignment horizontal="left" vertical="center"/>
    </xf>
    <xf numFmtId="0" fontId="3" fillId="7" borderId="0" xfId="0" applyFont="1" applyFill="1" applyAlignment="1">
      <alignment horizontal="left" vertical="center"/>
    </xf>
    <xf numFmtId="0" fontId="3" fillId="0" borderId="0" xfId="0" applyFont="1" applyAlignment="1">
      <alignment horizontal="center" vertical="center"/>
    </xf>
    <xf numFmtId="0" fontId="3" fillId="0" borderId="0" xfId="0" applyFont="1" applyAlignment="1">
      <alignment horizontal="left" vertical="center"/>
    </xf>
    <xf numFmtId="164" fontId="3" fillId="0" borderId="0" xfId="0" applyNumberFormat="1" applyFont="1" applyAlignment="1">
      <alignment horizontal="left" vertical="center"/>
    </xf>
    <xf numFmtId="0" fontId="7" fillId="0" borderId="0" xfId="0" applyFont="1"/>
    <xf numFmtId="0" fontId="5" fillId="7" borderId="0" xfId="0" applyFont="1" applyFill="1"/>
    <xf numFmtId="0" fontId="3" fillId="8" borderId="0" xfId="0" applyFont="1" applyFill="1" applyAlignment="1">
      <alignment horizontal="left" vertical="center"/>
    </xf>
    <xf numFmtId="0" fontId="0" fillId="0" borderId="0" xfId="0" applyFill="1"/>
    <xf numFmtId="0" fontId="3" fillId="9" borderId="0" xfId="0" applyFont="1" applyFill="1" applyAlignment="1">
      <alignment horizontal="left" vertical="center"/>
    </xf>
    <xf numFmtId="0" fontId="2" fillId="10" borderId="0" xfId="0" applyFont="1" applyFill="1" applyAlignment="1">
      <alignment horizontal="center" vertical="center" wrapText="1"/>
    </xf>
    <xf numFmtId="2" fontId="2" fillId="10" borderId="0" xfId="0" applyNumberFormat="1" applyFont="1" applyFill="1" applyAlignment="1">
      <alignment horizontal="center" vertical="center" wrapText="1"/>
    </xf>
    <xf numFmtId="2" fontId="1" fillId="0" borderId="0" xfId="0" applyNumberFormat="1" applyFont="1" applyAlignment="1">
      <alignment horizontal="center"/>
    </xf>
    <xf numFmtId="2" fontId="3" fillId="9" borderId="0" xfId="0" applyNumberFormat="1" applyFont="1" applyFill="1" applyAlignment="1">
      <alignment horizontal="center" vertical="center"/>
    </xf>
    <xf numFmtId="2" fontId="3" fillId="3" borderId="0" xfId="0" applyNumberFormat="1" applyFont="1" applyFill="1" applyAlignment="1">
      <alignment horizontal="center" vertical="center"/>
    </xf>
    <xf numFmtId="2" fontId="3" fillId="3" borderId="0" xfId="0" applyNumberFormat="1" applyFont="1" applyFill="1" applyAlignment="1">
      <alignment horizontal="center"/>
    </xf>
    <xf numFmtId="2" fontId="3" fillId="7" borderId="0" xfId="0" applyNumberFormat="1" applyFont="1" applyFill="1" applyAlignment="1">
      <alignment horizontal="center" vertical="center"/>
    </xf>
    <xf numFmtId="0" fontId="3" fillId="9" borderId="0" xfId="0" applyFont="1" applyFill="1" applyAlignment="1">
      <alignment horizontal="center" vertical="center"/>
    </xf>
    <xf numFmtId="0" fontId="3" fillId="3" borderId="0" xfId="0" applyFont="1" applyFill="1" applyAlignment="1">
      <alignment horizontal="center"/>
    </xf>
    <xf numFmtId="0" fontId="0" fillId="7" borderId="0" xfId="0" applyFill="1" applyAlignment="1">
      <alignment horizontal="center"/>
    </xf>
    <xf numFmtId="0" fontId="3" fillId="7" borderId="0" xfId="0" applyFont="1" applyFill="1" applyAlignment="1">
      <alignment horizontal="center" vertical="center"/>
    </xf>
    <xf numFmtId="2" fontId="8" fillId="4" borderId="0" xfId="0" applyNumberFormat="1" applyFont="1" applyFill="1" applyAlignment="1">
      <alignment horizontal="center"/>
    </xf>
    <xf numFmtId="2" fontId="6" fillId="4" borderId="0" xfId="0" applyNumberFormat="1" applyFont="1" applyFill="1" applyAlignment="1">
      <alignment horizontal="center"/>
    </xf>
    <xf numFmtId="2" fontId="8" fillId="5" borderId="0" xfId="0" applyNumberFormat="1" applyFont="1" applyFill="1" applyAlignment="1">
      <alignment horizontal="center"/>
    </xf>
    <xf numFmtId="2" fontId="6" fillId="5" borderId="0" xfId="0" applyNumberFormat="1" applyFont="1" applyFill="1" applyAlignment="1">
      <alignment horizontal="center"/>
    </xf>
    <xf numFmtId="2" fontId="8" fillId="6" borderId="0" xfId="0" applyNumberFormat="1" applyFont="1" applyFill="1" applyAlignment="1">
      <alignment horizontal="center"/>
    </xf>
    <xf numFmtId="2" fontId="8" fillId="8" borderId="0" xfId="0" applyNumberFormat="1" applyFont="1" applyFill="1" applyAlignment="1">
      <alignment horizontal="center"/>
    </xf>
    <xf numFmtId="2" fontId="6" fillId="7" borderId="0" xfId="0" applyNumberFormat="1" applyFont="1" applyFill="1" applyAlignment="1">
      <alignment horizontal="center"/>
    </xf>
    <xf numFmtId="2" fontId="6" fillId="8" borderId="0" xfId="0" applyNumberFormat="1" applyFont="1" applyFill="1" applyAlignment="1">
      <alignment horizontal="center"/>
    </xf>
    <xf numFmtId="0" fontId="4" fillId="0" borderId="0" xfId="0" applyFont="1" applyFill="1"/>
    <xf numFmtId="0" fontId="6" fillId="0" borderId="0" xfId="0" applyFont="1"/>
  </cellXfs>
  <cellStyles count="1">
    <cellStyle name="Normal" xfId="0" builtinId="0"/>
  </cellStyles>
  <dxfs count="0"/>
  <tableStyles count="0" defaultTableStyle="TableStyleMedium2" defaultPivotStyle="PivotStyleLight16"/>
  <colors>
    <mruColors>
      <color rgb="FFFF99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t>LDDT-LP Score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spPr>
            <a:ln w="38100" cap="rnd">
              <a:noFill/>
              <a:round/>
            </a:ln>
            <a:effectLst/>
          </c:spPr>
          <c:marker>
            <c:symbol val="circle"/>
            <c:size val="5"/>
            <c:spPr>
              <a:solidFill>
                <a:schemeClr val="accent1"/>
              </a:solidFill>
              <a:ln w="9525">
                <a:solidFill>
                  <a:schemeClr val="accent1"/>
                </a:solidFill>
              </a:ln>
              <a:effectLst/>
            </c:spPr>
          </c:marker>
          <c:yVal>
            <c:numRef>
              <c:f>Updated!$D$6:$D$27</c:f>
              <c:numCache>
                <c:formatCode>0.00</c:formatCode>
                <c:ptCount val="22"/>
                <c:pt idx="0">
                  <c:v>0.52669999999999995</c:v>
                </c:pt>
                <c:pt idx="1">
                  <c:v>0.52</c:v>
                </c:pt>
                <c:pt idx="2">
                  <c:v>0.51739999999999997</c:v>
                </c:pt>
                <c:pt idx="3">
                  <c:v>0.51619999999999999</c:v>
                </c:pt>
                <c:pt idx="4">
                  <c:v>0.51580000000000004</c:v>
                </c:pt>
                <c:pt idx="5">
                  <c:v>0.51390000000000002</c:v>
                </c:pt>
                <c:pt idx="6">
                  <c:v>0.50800000000000001</c:v>
                </c:pt>
                <c:pt idx="7">
                  <c:v>0.50760000000000005</c:v>
                </c:pt>
                <c:pt idx="8">
                  <c:v>0.49509999999999998</c:v>
                </c:pt>
                <c:pt idx="9">
                  <c:v>0.49390000000000001</c:v>
                </c:pt>
                <c:pt idx="10">
                  <c:v>0.49030000000000001</c:v>
                </c:pt>
                <c:pt idx="11">
                  <c:v>0.48170000000000002</c:v>
                </c:pt>
                <c:pt idx="12">
                  <c:v>0.48010000000000003</c:v>
                </c:pt>
                <c:pt idx="13">
                  <c:v>0.47539999999999999</c:v>
                </c:pt>
                <c:pt idx="14">
                  <c:v>0.4723</c:v>
                </c:pt>
                <c:pt idx="15">
                  <c:v>0.47210000000000002</c:v>
                </c:pt>
                <c:pt idx="16">
                  <c:v>0.47120000000000001</c:v>
                </c:pt>
                <c:pt idx="17">
                  <c:v>0.46450000000000002</c:v>
                </c:pt>
                <c:pt idx="18">
                  <c:v>0.46329999999999999</c:v>
                </c:pt>
                <c:pt idx="19">
                  <c:v>0.4632</c:v>
                </c:pt>
                <c:pt idx="20">
                  <c:v>0.31919999999999998</c:v>
                </c:pt>
                <c:pt idx="21">
                  <c:v>0.17979999999999999</c:v>
                </c:pt>
              </c:numCache>
            </c:numRef>
          </c:yVal>
          <c:smooth val="0"/>
          <c:extLst>
            <c:ext xmlns:c16="http://schemas.microsoft.com/office/drawing/2014/chart" uri="{C3380CC4-5D6E-409C-BE32-E72D297353CC}">
              <c16:uniqueId val="{00000000-16EC-4602-A023-8DDF7598F300}"/>
            </c:ext>
          </c:extLst>
        </c:ser>
        <c:dLbls>
          <c:showLegendKey val="0"/>
          <c:showVal val="0"/>
          <c:showCatName val="0"/>
          <c:showSerName val="0"/>
          <c:showPercent val="0"/>
          <c:showBubbleSize val="0"/>
        </c:dLbls>
        <c:axId val="1420753376"/>
        <c:axId val="1083860848"/>
      </c:scatterChart>
      <c:valAx>
        <c:axId val="1420753376"/>
        <c:scaling>
          <c:orientation val="minMax"/>
        </c:scaling>
        <c:delete val="0"/>
        <c:axPos val="b"/>
        <c:majorGridlines>
          <c:spPr>
            <a:ln w="9525" cap="flat" cmpd="sng" algn="ctr">
              <a:solidFill>
                <a:schemeClr val="tx1">
                  <a:lumMod val="15000"/>
                  <a:lumOff val="85000"/>
                </a:schemeClr>
              </a:solidFill>
              <a:round/>
            </a:ln>
            <a:effectLst/>
          </c:spPr>
        </c:majorGridlines>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83860848"/>
        <c:crosses val="autoZero"/>
        <c:crossBetween val="midCat"/>
      </c:valAx>
      <c:valAx>
        <c:axId val="1083860848"/>
        <c:scaling>
          <c:orientation val="minMax"/>
          <c:min val="0.30000000000000004"/>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20753376"/>
        <c:crosses val="autoZero"/>
        <c:crossBetween val="midCat"/>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3</xdr:col>
      <xdr:colOff>22225</xdr:colOff>
      <xdr:row>27</xdr:row>
      <xdr:rowOff>136525</xdr:rowOff>
    </xdr:from>
    <xdr:to>
      <xdr:col>7</xdr:col>
      <xdr:colOff>403225</xdr:colOff>
      <xdr:row>42</xdr:row>
      <xdr:rowOff>9525</xdr:rowOff>
    </xdr:to>
    <xdr:graphicFrame macro="">
      <xdr:nvGraphicFramePr>
        <xdr:cNvPr id="6" name="Chart 5">
          <a:extLst>
            <a:ext uri="{FF2B5EF4-FFF2-40B4-BE49-F238E27FC236}">
              <a16:creationId xmlns:a16="http://schemas.microsoft.com/office/drawing/2014/main" id="{91E9768F-C512-0F4F-071B-845B0A26AE2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G:\My%20Drive\Projects\open_admet\pxr\PXR_structuralpredictionchallenge_scoreboard_notes.xlsx" TargetMode="External"/><Relationship Id="rId1" Type="http://schemas.openxmlformats.org/officeDocument/2006/relationships/externalLinkPath" Target="PXR_structuralpredictionchallenge_scoreboard_note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Full_competition"/>
      <sheetName val="final_scores_fullset"/>
      <sheetName val="Updated"/>
    </sheetNames>
    <sheetDataSet>
      <sheetData sheetId="0"/>
      <sheetData sheetId="1"/>
      <sheetData sheetId="2">
        <row r="6">
          <cell r="E6">
            <v>0.57250000000000001</v>
          </cell>
          <cell r="F6">
            <v>3.4085000000000001</v>
          </cell>
        </row>
        <row r="7">
          <cell r="E7">
            <v>0.55569999999999997</v>
          </cell>
          <cell r="F7">
            <v>3.8081</v>
          </cell>
        </row>
        <row r="8">
          <cell r="E8">
            <v>0.5464</v>
          </cell>
          <cell r="F8">
            <v>3.8691</v>
          </cell>
        </row>
        <row r="9">
          <cell r="E9">
            <v>0.54159999999999997</v>
          </cell>
          <cell r="F9">
            <v>3.6383999999999999</v>
          </cell>
        </row>
        <row r="10">
          <cell r="E10">
            <v>0.53639999999999999</v>
          </cell>
          <cell r="F10">
            <v>3.6913</v>
          </cell>
        </row>
        <row r="11">
          <cell r="E11">
            <v>0.53469999999999995</v>
          </cell>
          <cell r="F11">
            <v>3.7463000000000002</v>
          </cell>
        </row>
        <row r="12">
          <cell r="E12">
            <v>0.5323</v>
          </cell>
          <cell r="F12">
            <v>3.6846000000000001</v>
          </cell>
        </row>
        <row r="13">
          <cell r="E13">
            <v>0.53180000000000005</v>
          </cell>
          <cell r="F13">
            <v>3.847</v>
          </cell>
        </row>
        <row r="14">
          <cell r="E14">
            <v>0.5302</v>
          </cell>
          <cell r="F14">
            <v>3.7166000000000001</v>
          </cell>
        </row>
        <row r="15">
          <cell r="E15">
            <v>0.52669999999999995</v>
          </cell>
          <cell r="F15">
            <v>3.7831000000000001</v>
          </cell>
        </row>
        <row r="16">
          <cell r="E16">
            <v>0.52659999999999996</v>
          </cell>
          <cell r="F16">
            <v>4.1870000000000003</v>
          </cell>
        </row>
        <row r="17">
          <cell r="E17">
            <v>0.52</v>
          </cell>
          <cell r="F17">
            <v>3.8843999999999999</v>
          </cell>
        </row>
        <row r="18">
          <cell r="E18">
            <v>0.51739999999999997</v>
          </cell>
          <cell r="F18">
            <v>3.8852000000000002</v>
          </cell>
        </row>
        <row r="19">
          <cell r="E19">
            <v>0.51619999999999999</v>
          </cell>
          <cell r="F19">
            <v>3.9514999999999998</v>
          </cell>
        </row>
        <row r="20">
          <cell r="E20">
            <v>0.51580000000000004</v>
          </cell>
          <cell r="F20">
            <v>3.9194</v>
          </cell>
        </row>
        <row r="21">
          <cell r="E21">
            <v>0.51390000000000002</v>
          </cell>
          <cell r="F21">
            <v>3.9076</v>
          </cell>
        </row>
        <row r="22">
          <cell r="E22">
            <v>0.51060000000000005</v>
          </cell>
          <cell r="F22">
            <v>3.9125999999999999</v>
          </cell>
        </row>
        <row r="23">
          <cell r="E23">
            <v>0.51049999999999995</v>
          </cell>
          <cell r="F23">
            <v>3.8502999999999998</v>
          </cell>
        </row>
        <row r="24">
          <cell r="E24">
            <v>0.51039999999999996</v>
          </cell>
          <cell r="F24">
            <v>4.6835000000000004</v>
          </cell>
        </row>
        <row r="25">
          <cell r="E25">
            <v>0.50800000000000001</v>
          </cell>
          <cell r="F25">
            <v>3.9346999999999999</v>
          </cell>
        </row>
        <row r="26">
          <cell r="E26">
            <v>0.50760000000000005</v>
          </cell>
          <cell r="F26">
            <v>3.9864999999999999</v>
          </cell>
        </row>
        <row r="27">
          <cell r="E27">
            <v>0.50460000000000005</v>
          </cell>
          <cell r="F27">
            <v>3.9295</v>
          </cell>
        </row>
        <row r="28">
          <cell r="E28">
            <v>0.50390000000000001</v>
          </cell>
          <cell r="F28">
            <v>4.0011999999999999</v>
          </cell>
        </row>
        <row r="29">
          <cell r="E29">
            <v>0.50149999999999995</v>
          </cell>
          <cell r="F29">
            <v>4.2687999999999997</v>
          </cell>
        </row>
        <row r="30">
          <cell r="E30">
            <v>0.49509999999999998</v>
          </cell>
          <cell r="F30">
            <v>4.0656999999999996</v>
          </cell>
        </row>
        <row r="31">
          <cell r="E31">
            <v>0.49390000000000001</v>
          </cell>
          <cell r="F31">
            <v>4.0774999999999997</v>
          </cell>
        </row>
        <row r="32">
          <cell r="E32">
            <v>0.49030000000000001</v>
          </cell>
          <cell r="F32">
            <v>4.0252999999999997</v>
          </cell>
        </row>
        <row r="33">
          <cell r="E33">
            <v>0.48170000000000002</v>
          </cell>
          <cell r="F33">
            <v>4.1261000000000001</v>
          </cell>
        </row>
        <row r="34">
          <cell r="E34">
            <v>0.48010000000000003</v>
          </cell>
          <cell r="F34">
            <v>4.1456999999999997</v>
          </cell>
        </row>
        <row r="35">
          <cell r="E35">
            <v>0.47739999999999999</v>
          </cell>
          <cell r="F35">
            <v>4.1765999999999996</v>
          </cell>
        </row>
        <row r="36">
          <cell r="E36">
            <v>0.47539999999999999</v>
          </cell>
          <cell r="F36">
            <v>4.2713999999999999</v>
          </cell>
        </row>
        <row r="37">
          <cell r="E37">
            <v>0.4723</v>
          </cell>
          <cell r="F37">
            <v>4.3452000000000002</v>
          </cell>
        </row>
        <row r="38">
          <cell r="E38">
            <v>0.47210000000000002</v>
          </cell>
          <cell r="F38">
            <v>4.2112999999999996</v>
          </cell>
        </row>
        <row r="39">
          <cell r="E39">
            <v>0.47120000000000001</v>
          </cell>
          <cell r="F39">
            <v>4.1452</v>
          </cell>
        </row>
        <row r="40">
          <cell r="E40">
            <v>0.47110000000000002</v>
          </cell>
          <cell r="F40">
            <v>4.1996000000000002</v>
          </cell>
        </row>
        <row r="41">
          <cell r="E41">
            <v>0.4708</v>
          </cell>
          <cell r="F41">
            <v>4.8623000000000003</v>
          </cell>
        </row>
        <row r="42">
          <cell r="E42">
            <v>0.46789999999999998</v>
          </cell>
          <cell r="F42">
            <v>4.2403000000000004</v>
          </cell>
        </row>
        <row r="43">
          <cell r="E43">
            <v>0.4657</v>
          </cell>
          <cell r="F43">
            <v>4.2161</v>
          </cell>
        </row>
        <row r="44">
          <cell r="E44">
            <v>0.46450000000000002</v>
          </cell>
          <cell r="F44">
            <v>4.1875</v>
          </cell>
        </row>
        <row r="45">
          <cell r="E45">
            <v>0.46329999999999999</v>
          </cell>
          <cell r="F45">
            <v>4.3178999999999998</v>
          </cell>
        </row>
        <row r="46">
          <cell r="E46">
            <v>0.4632</v>
          </cell>
          <cell r="F46">
            <v>4.3108000000000004</v>
          </cell>
        </row>
        <row r="47">
          <cell r="E47">
            <v>0.4632</v>
          </cell>
          <cell r="F47">
            <v>4.3108000000000004</v>
          </cell>
        </row>
        <row r="48">
          <cell r="E48">
            <v>0.45889999999999997</v>
          </cell>
          <cell r="F48">
            <v>4.3068</v>
          </cell>
        </row>
        <row r="49">
          <cell r="E49">
            <v>0.45190000000000002</v>
          </cell>
          <cell r="F49">
            <v>4.2521000000000004</v>
          </cell>
        </row>
        <row r="50">
          <cell r="E50">
            <v>0.45179999999999998</v>
          </cell>
          <cell r="F50">
            <v>4.3343999999999996</v>
          </cell>
        </row>
        <row r="51">
          <cell r="E51">
            <v>0.41970000000000002</v>
          </cell>
          <cell r="F51">
            <v>4.6117999999999997</v>
          </cell>
        </row>
        <row r="52">
          <cell r="E52">
            <v>0.38219999999999998</v>
          </cell>
          <cell r="F52">
            <v>4.9991000000000003</v>
          </cell>
        </row>
        <row r="53">
          <cell r="E53">
            <v>0.33350000000000002</v>
          </cell>
          <cell r="F53">
            <v>5.0967000000000002</v>
          </cell>
        </row>
        <row r="54">
          <cell r="E54">
            <v>0.31919999999999998</v>
          </cell>
          <cell r="F54">
            <v>5.508</v>
          </cell>
        </row>
        <row r="55">
          <cell r="E55">
            <v>0.29320000000000002</v>
          </cell>
          <cell r="F55">
            <v>6.2464000000000004</v>
          </cell>
        </row>
        <row r="56">
          <cell r="E56">
            <v>0.17979999999999999</v>
          </cell>
          <cell r="F56">
            <v>7.4055</v>
          </cell>
        </row>
        <row r="57">
          <cell r="F57">
            <v>13.2103</v>
          </cell>
        </row>
        <row r="58">
          <cell r="F58">
            <v>11.4932</v>
          </cell>
        </row>
        <row r="59">
          <cell r="F59">
            <v>20</v>
          </cell>
        </row>
      </sheetData>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6C1556-172C-4D77-91AF-62C41FF4D2EF}">
  <dimension ref="A2:P28"/>
  <sheetViews>
    <sheetView tabSelected="1" topLeftCell="B1" workbookViewId="0">
      <selection activeCell="B29" sqref="B29"/>
    </sheetView>
  </sheetViews>
  <sheetFormatPr defaultRowHeight="15" x14ac:dyDescent="0.25"/>
  <cols>
    <col min="1" max="1" width="24.140625" style="1" hidden="1" customWidth="1"/>
    <col min="2" max="2" width="24.140625" customWidth="1"/>
    <col min="3" max="3" width="26.28515625" customWidth="1"/>
    <col min="4" max="4" width="16.42578125" customWidth="1"/>
    <col min="5" max="5" width="16.85546875" customWidth="1"/>
    <col min="6" max="6" width="15.5703125" customWidth="1"/>
    <col min="7" max="7" width="13.85546875" customWidth="1"/>
    <col min="8" max="8" width="28" style="2" customWidth="1"/>
    <col min="9" max="9" width="24.28515625" style="2" customWidth="1"/>
    <col min="10" max="10" width="125.28515625" customWidth="1"/>
  </cols>
  <sheetData>
    <row r="2" spans="1:16" ht="31.5" customHeight="1" x14ac:dyDescent="0.4">
      <c r="B2" s="16" t="s">
        <v>57</v>
      </c>
    </row>
    <row r="3" spans="1:16" ht="18.75" x14ac:dyDescent="0.3">
      <c r="B3" s="41" t="s">
        <v>62</v>
      </c>
    </row>
    <row r="5" spans="1:16" ht="47.25" x14ac:dyDescent="0.25">
      <c r="A5" s="3" t="s">
        <v>0</v>
      </c>
      <c r="B5" s="21" t="s">
        <v>1</v>
      </c>
      <c r="C5" s="21" t="s">
        <v>2</v>
      </c>
      <c r="D5" s="22" t="s">
        <v>3</v>
      </c>
      <c r="E5" s="21" t="s">
        <v>4</v>
      </c>
      <c r="F5" s="21" t="s">
        <v>5</v>
      </c>
      <c r="G5" s="21" t="s">
        <v>6</v>
      </c>
      <c r="H5" s="22" t="s">
        <v>63</v>
      </c>
      <c r="I5" s="22" t="s">
        <v>7</v>
      </c>
      <c r="J5" s="21" t="s">
        <v>61</v>
      </c>
    </row>
    <row r="6" spans="1:16" ht="18.75" x14ac:dyDescent="0.3">
      <c r="A6" s="4">
        <v>9</v>
      </c>
      <c r="B6" s="28" t="s">
        <v>8</v>
      </c>
      <c r="C6" s="20" t="s">
        <v>9</v>
      </c>
      <c r="D6" s="24">
        <v>0.52669999999999995</v>
      </c>
      <c r="E6" s="24">
        <v>3.7831000000000001</v>
      </c>
      <c r="F6" s="24">
        <v>0.90039999999999998</v>
      </c>
      <c r="G6" s="20">
        <v>1</v>
      </c>
      <c r="H6" s="23">
        <f>D6-D$6</f>
        <v>0</v>
      </c>
      <c r="I6" s="32" t="s">
        <v>10</v>
      </c>
      <c r="J6" s="6" t="s">
        <v>11</v>
      </c>
      <c r="K6" s="19"/>
      <c r="L6" s="19"/>
      <c r="M6" s="19"/>
      <c r="N6" s="19"/>
      <c r="O6" s="19"/>
      <c r="P6" s="19"/>
    </row>
    <row r="7" spans="1:16" ht="18.75" x14ac:dyDescent="0.3">
      <c r="A7" s="4">
        <v>10</v>
      </c>
      <c r="B7" s="9" t="s">
        <v>8</v>
      </c>
      <c r="C7" s="5" t="s">
        <v>12</v>
      </c>
      <c r="D7" s="25">
        <v>0.52</v>
      </c>
      <c r="E7" s="25">
        <v>3.8843999999999999</v>
      </c>
      <c r="F7" s="25">
        <v>0.90269999999999995</v>
      </c>
      <c r="G7" s="5">
        <v>1</v>
      </c>
      <c r="H7" s="23">
        <f t="shared" ref="H7:I11" si="0">D7-D$6</f>
        <v>-6.6999999999999282E-3</v>
      </c>
      <c r="I7" s="33" t="s">
        <v>10</v>
      </c>
      <c r="J7" s="6" t="s">
        <v>13</v>
      </c>
      <c r="K7" s="19"/>
      <c r="L7" s="19"/>
      <c r="M7" s="19"/>
      <c r="N7" s="19"/>
      <c r="O7" s="19"/>
      <c r="P7" s="19"/>
    </row>
    <row r="8" spans="1:16" ht="18.75" x14ac:dyDescent="0.3">
      <c r="A8" s="4">
        <v>11</v>
      </c>
      <c r="B8" s="9" t="s">
        <v>8</v>
      </c>
      <c r="C8" s="5" t="s">
        <v>14</v>
      </c>
      <c r="D8" s="25">
        <v>0.51739999999999997</v>
      </c>
      <c r="E8" s="25">
        <v>3.8852000000000002</v>
      </c>
      <c r="F8" s="25">
        <v>0.90329999999999999</v>
      </c>
      <c r="G8" s="5">
        <v>1</v>
      </c>
      <c r="H8" s="23">
        <f t="shared" si="0"/>
        <v>-9.299999999999975E-3</v>
      </c>
      <c r="I8" s="33" t="s">
        <v>10</v>
      </c>
      <c r="J8" s="6" t="s">
        <v>15</v>
      </c>
      <c r="K8" s="19"/>
      <c r="L8" s="19"/>
      <c r="M8" s="19"/>
      <c r="N8" s="19"/>
      <c r="O8" s="19"/>
      <c r="P8" s="19"/>
    </row>
    <row r="9" spans="1:16" ht="18.75" x14ac:dyDescent="0.3">
      <c r="A9" s="4">
        <v>12</v>
      </c>
      <c r="B9" s="9" t="s">
        <v>8</v>
      </c>
      <c r="C9" s="5" t="s">
        <v>16</v>
      </c>
      <c r="D9" s="25">
        <v>0.51619999999999999</v>
      </c>
      <c r="E9" s="25">
        <v>3.9514999999999998</v>
      </c>
      <c r="F9" s="25">
        <v>0.90190000000000003</v>
      </c>
      <c r="G9" s="5">
        <v>1</v>
      </c>
      <c r="H9" s="23">
        <f t="shared" si="0"/>
        <v>-1.0499999999999954E-2</v>
      </c>
      <c r="I9" s="33" t="s">
        <v>10</v>
      </c>
      <c r="J9" s="6" t="s">
        <v>17</v>
      </c>
      <c r="K9" s="19"/>
      <c r="L9" s="19"/>
      <c r="M9" s="19"/>
      <c r="N9" s="19"/>
      <c r="O9" s="19"/>
      <c r="P9" s="19"/>
    </row>
    <row r="10" spans="1:16" ht="18.75" x14ac:dyDescent="0.3">
      <c r="A10" s="4">
        <v>13</v>
      </c>
      <c r="B10" s="9" t="s">
        <v>8</v>
      </c>
      <c r="C10" s="5" t="s">
        <v>18</v>
      </c>
      <c r="D10" s="25">
        <v>0.51580000000000004</v>
      </c>
      <c r="E10" s="25">
        <v>3.9194</v>
      </c>
      <c r="F10" s="25">
        <v>0.90549999999999997</v>
      </c>
      <c r="G10" s="5">
        <v>1</v>
      </c>
      <c r="H10" s="23">
        <f t="shared" si="0"/>
        <v>-1.089999999999991E-2</v>
      </c>
      <c r="I10" s="33" t="s">
        <v>10</v>
      </c>
      <c r="J10" s="6" t="s">
        <v>19</v>
      </c>
      <c r="K10" s="19"/>
      <c r="L10" s="19"/>
      <c r="M10" s="19"/>
      <c r="N10" s="19"/>
      <c r="O10" s="19"/>
      <c r="P10" s="19"/>
    </row>
    <row r="11" spans="1:16" ht="18.75" x14ac:dyDescent="0.3">
      <c r="A11" s="4">
        <v>14</v>
      </c>
      <c r="B11" s="9" t="s">
        <v>8</v>
      </c>
      <c r="C11" s="5" t="s">
        <v>20</v>
      </c>
      <c r="D11" s="25">
        <v>0.51390000000000002</v>
      </c>
      <c r="E11" s="25">
        <v>3.9076</v>
      </c>
      <c r="F11" s="25">
        <v>0.9032</v>
      </c>
      <c r="G11" s="5">
        <v>1</v>
      </c>
      <c r="H11" s="23">
        <f t="shared" si="0"/>
        <v>-1.2799999999999923E-2</v>
      </c>
      <c r="I11" s="33" t="s">
        <v>10</v>
      </c>
      <c r="J11" s="6" t="s">
        <v>21</v>
      </c>
      <c r="K11" s="19"/>
      <c r="L11" s="19"/>
      <c r="M11" s="19"/>
      <c r="N11" s="19"/>
      <c r="O11" s="19"/>
      <c r="P11" s="19"/>
    </row>
    <row r="12" spans="1:16" ht="18.75" x14ac:dyDescent="0.3">
      <c r="A12" s="4">
        <v>18</v>
      </c>
      <c r="B12" s="9" t="s">
        <v>8</v>
      </c>
      <c r="C12" s="5" t="s">
        <v>22</v>
      </c>
      <c r="D12" s="25">
        <v>0.50800000000000001</v>
      </c>
      <c r="E12" s="25">
        <v>3.9346999999999999</v>
      </c>
      <c r="F12" s="25">
        <v>0.9052</v>
      </c>
      <c r="G12" s="5">
        <v>1</v>
      </c>
      <c r="H12" s="23">
        <f t="shared" ref="H12:I13" si="1">D12-D$6</f>
        <v>-1.8699999999999939E-2</v>
      </c>
      <c r="I12" s="33" t="s">
        <v>10</v>
      </c>
      <c r="J12" s="6" t="s">
        <v>23</v>
      </c>
      <c r="K12" s="19"/>
      <c r="L12" s="19"/>
      <c r="M12" s="19"/>
      <c r="N12" s="19"/>
      <c r="O12" s="19"/>
      <c r="P12" s="19"/>
    </row>
    <row r="13" spans="1:16" ht="18.75" x14ac:dyDescent="0.3">
      <c r="A13" s="4">
        <v>19</v>
      </c>
      <c r="B13" s="9" t="s">
        <v>8</v>
      </c>
      <c r="C13" s="5" t="s">
        <v>24</v>
      </c>
      <c r="D13" s="25">
        <v>0.50760000000000005</v>
      </c>
      <c r="E13" s="25">
        <v>3.9864999999999999</v>
      </c>
      <c r="F13" s="25">
        <v>0.90249999999999997</v>
      </c>
      <c r="G13" s="5">
        <v>1</v>
      </c>
      <c r="H13" s="23">
        <f t="shared" si="1"/>
        <v>-1.9099999999999895E-2</v>
      </c>
      <c r="I13" s="33" t="s">
        <v>10</v>
      </c>
      <c r="J13" s="6" t="s">
        <v>25</v>
      </c>
      <c r="K13" s="19"/>
      <c r="L13" s="19"/>
      <c r="M13" s="19"/>
      <c r="N13" s="19"/>
      <c r="O13" s="19"/>
      <c r="P13" s="19"/>
    </row>
    <row r="14" spans="1:16" ht="18.75" x14ac:dyDescent="0.3">
      <c r="A14" s="4">
        <v>23</v>
      </c>
      <c r="B14" s="9" t="s">
        <v>8</v>
      </c>
      <c r="C14" s="5" t="s">
        <v>26</v>
      </c>
      <c r="D14" s="25">
        <v>0.49509999999999998</v>
      </c>
      <c r="E14" s="25">
        <v>4.0656999999999996</v>
      </c>
      <c r="F14" s="25">
        <v>0.90539999999999998</v>
      </c>
      <c r="G14" s="5">
        <v>1</v>
      </c>
      <c r="H14" s="23">
        <f t="shared" ref="H14:I18" si="2">D14-D$6</f>
        <v>-3.1599999999999961E-2</v>
      </c>
      <c r="I14" s="33" t="s">
        <v>10</v>
      </c>
      <c r="J14" s="6" t="s">
        <v>27</v>
      </c>
      <c r="K14" s="19"/>
      <c r="L14" s="19"/>
      <c r="M14" s="19"/>
      <c r="N14" s="19"/>
      <c r="O14" s="19"/>
      <c r="P14" s="19"/>
    </row>
    <row r="15" spans="1:16" ht="18.75" x14ac:dyDescent="0.3">
      <c r="A15" s="4">
        <v>24</v>
      </c>
      <c r="B15" s="29" t="s">
        <v>8</v>
      </c>
      <c r="C15" s="7" t="s">
        <v>28</v>
      </c>
      <c r="D15" s="26">
        <v>0.49390000000000001</v>
      </c>
      <c r="E15" s="26">
        <v>4.0774999999999997</v>
      </c>
      <c r="F15" s="26">
        <v>0.88390000000000002</v>
      </c>
      <c r="G15" s="7">
        <v>1</v>
      </c>
      <c r="H15" s="23">
        <f t="shared" si="2"/>
        <v>-3.279999999999994E-2</v>
      </c>
      <c r="I15" s="34" t="s">
        <v>29</v>
      </c>
      <c r="J15" s="8" t="s">
        <v>30</v>
      </c>
      <c r="K15" s="19"/>
      <c r="L15" s="19"/>
      <c r="M15" s="19"/>
      <c r="N15" s="19"/>
      <c r="O15" s="19"/>
      <c r="P15" s="19"/>
    </row>
    <row r="16" spans="1:16" ht="18.75" x14ac:dyDescent="0.3">
      <c r="A16" s="4">
        <v>25</v>
      </c>
      <c r="B16" s="9" t="s">
        <v>8</v>
      </c>
      <c r="C16" s="5" t="s">
        <v>31</v>
      </c>
      <c r="D16" s="25">
        <v>0.49030000000000001</v>
      </c>
      <c r="E16" s="25">
        <v>4.0252999999999997</v>
      </c>
      <c r="F16" s="25">
        <v>0.89839999999999998</v>
      </c>
      <c r="G16" s="5">
        <v>1</v>
      </c>
      <c r="H16" s="23">
        <f t="shared" si="2"/>
        <v>-3.6399999999999932E-2</v>
      </c>
      <c r="I16" s="33" t="s">
        <v>10</v>
      </c>
      <c r="J16" s="6" t="s">
        <v>32</v>
      </c>
      <c r="K16" s="19"/>
      <c r="L16" s="19"/>
      <c r="M16" s="19"/>
      <c r="N16" s="19"/>
      <c r="O16" s="19"/>
      <c r="P16" s="19"/>
    </row>
    <row r="17" spans="1:16" ht="18.75" x14ac:dyDescent="0.3">
      <c r="A17" s="4">
        <v>26</v>
      </c>
      <c r="B17" s="9" t="s">
        <v>8</v>
      </c>
      <c r="C17" s="5" t="s">
        <v>33</v>
      </c>
      <c r="D17" s="25">
        <v>0.48170000000000002</v>
      </c>
      <c r="E17" s="25">
        <v>4.1261000000000001</v>
      </c>
      <c r="F17" s="25">
        <v>0.87639999999999996</v>
      </c>
      <c r="G17" s="5">
        <v>1</v>
      </c>
      <c r="H17" s="23">
        <f t="shared" si="2"/>
        <v>-4.4999999999999929E-2</v>
      </c>
      <c r="I17" s="35" t="s">
        <v>29</v>
      </c>
      <c r="J17" s="8" t="s">
        <v>34</v>
      </c>
      <c r="K17" s="19"/>
      <c r="L17" s="19"/>
      <c r="M17" s="19"/>
      <c r="N17" s="19"/>
      <c r="O17" s="19"/>
      <c r="P17" s="19"/>
    </row>
    <row r="18" spans="1:16" ht="18.75" x14ac:dyDescent="0.3">
      <c r="A18" s="9">
        <v>26</v>
      </c>
      <c r="B18" s="9" t="s">
        <v>8</v>
      </c>
      <c r="C18" s="5" t="s">
        <v>35</v>
      </c>
      <c r="D18" s="25">
        <v>0.48010000000000003</v>
      </c>
      <c r="E18" s="25">
        <v>4.1456999999999997</v>
      </c>
      <c r="F18" s="25">
        <v>0.90259999999999996</v>
      </c>
      <c r="G18" s="5">
        <v>1</v>
      </c>
      <c r="H18" s="23">
        <f t="shared" si="2"/>
        <v>-4.6599999999999919E-2</v>
      </c>
      <c r="I18" s="33" t="s">
        <v>10</v>
      </c>
      <c r="J18" s="6" t="s">
        <v>36</v>
      </c>
      <c r="K18" s="19"/>
      <c r="L18" s="19"/>
      <c r="M18" s="19"/>
      <c r="N18" s="19"/>
      <c r="O18" s="19"/>
      <c r="P18" s="19"/>
    </row>
    <row r="19" spans="1:16" s="10" customFormat="1" ht="18.75" x14ac:dyDescent="0.3">
      <c r="A19" s="4">
        <v>28</v>
      </c>
      <c r="B19" s="9" t="s">
        <v>8</v>
      </c>
      <c r="C19" s="5" t="s">
        <v>37</v>
      </c>
      <c r="D19" s="25">
        <v>0.47539999999999999</v>
      </c>
      <c r="E19" s="25">
        <v>4.2713999999999999</v>
      </c>
      <c r="F19" s="25">
        <v>0.90529999999999999</v>
      </c>
      <c r="G19" s="5">
        <v>1</v>
      </c>
      <c r="H19" s="23">
        <f t="shared" ref="H19:I22" si="3">D19-D$6</f>
        <v>-5.1299999999999957E-2</v>
      </c>
      <c r="I19" s="35" t="s">
        <v>29</v>
      </c>
      <c r="J19" s="8" t="s">
        <v>38</v>
      </c>
      <c r="K19" s="40"/>
      <c r="L19" s="40"/>
      <c r="M19" s="40"/>
      <c r="N19" s="40"/>
      <c r="O19" s="40"/>
      <c r="P19" s="40"/>
    </row>
    <row r="20" spans="1:16" s="10" customFormat="1" ht="18.75" x14ac:dyDescent="0.3">
      <c r="A20" s="4">
        <v>29</v>
      </c>
      <c r="B20" s="9" t="s">
        <v>8</v>
      </c>
      <c r="C20" s="5" t="s">
        <v>39</v>
      </c>
      <c r="D20" s="25">
        <v>0.4723</v>
      </c>
      <c r="E20" s="25">
        <v>4.3452000000000002</v>
      </c>
      <c r="F20" s="25">
        <v>0.87509999999999999</v>
      </c>
      <c r="G20" s="5">
        <v>0.98909999999999998</v>
      </c>
      <c r="H20" s="23">
        <f t="shared" si="3"/>
        <v>-5.4399999999999948E-2</v>
      </c>
      <c r="I20" s="35" t="s">
        <v>29</v>
      </c>
      <c r="J20" s="8" t="s">
        <v>40</v>
      </c>
      <c r="K20" s="40"/>
      <c r="L20" s="40"/>
      <c r="M20" s="40"/>
      <c r="N20" s="40"/>
      <c r="O20" s="40"/>
      <c r="P20" s="40"/>
    </row>
    <row r="21" spans="1:16" ht="18.75" x14ac:dyDescent="0.3">
      <c r="A21" s="4">
        <v>30</v>
      </c>
      <c r="B21" s="9" t="s">
        <v>8</v>
      </c>
      <c r="C21" s="5" t="s">
        <v>41</v>
      </c>
      <c r="D21" s="25">
        <v>0.47210000000000002</v>
      </c>
      <c r="E21" s="25">
        <v>4.2112999999999996</v>
      </c>
      <c r="F21" s="25">
        <v>0.90429999999999999</v>
      </c>
      <c r="G21" s="5">
        <v>1</v>
      </c>
      <c r="H21" s="23">
        <f t="shared" si="3"/>
        <v>-5.4599999999999926E-2</v>
      </c>
      <c r="I21" s="33" t="s">
        <v>10</v>
      </c>
      <c r="J21" s="6" t="s">
        <v>42</v>
      </c>
      <c r="K21" s="19"/>
      <c r="L21" s="19"/>
      <c r="M21" s="19"/>
      <c r="N21" s="19"/>
      <c r="O21" s="19"/>
      <c r="P21" s="19"/>
    </row>
    <row r="22" spans="1:16" ht="18.75" x14ac:dyDescent="0.3">
      <c r="A22" s="4">
        <v>31</v>
      </c>
      <c r="B22" s="9" t="s">
        <v>8</v>
      </c>
      <c r="C22" s="5" t="s">
        <v>43</v>
      </c>
      <c r="D22" s="25">
        <v>0.47120000000000001</v>
      </c>
      <c r="E22" s="25">
        <v>4.1452</v>
      </c>
      <c r="F22" s="25">
        <v>0.91459999999999997</v>
      </c>
      <c r="G22" s="5">
        <v>1</v>
      </c>
      <c r="H22" s="23">
        <f t="shared" si="3"/>
        <v>-5.5499999999999938E-2</v>
      </c>
      <c r="I22" s="36" t="s">
        <v>44</v>
      </c>
      <c r="J22" s="11" t="s">
        <v>45</v>
      </c>
      <c r="K22" s="19"/>
      <c r="L22" s="19"/>
      <c r="M22" s="19"/>
      <c r="N22" s="19"/>
      <c r="O22" s="19"/>
      <c r="P22" s="19"/>
    </row>
    <row r="23" spans="1:16" ht="18.75" x14ac:dyDescent="0.3">
      <c r="A23" s="4">
        <v>36</v>
      </c>
      <c r="B23" s="9" t="s">
        <v>8</v>
      </c>
      <c r="C23" s="5" t="s">
        <v>46</v>
      </c>
      <c r="D23" s="25">
        <v>0.46450000000000002</v>
      </c>
      <c r="E23" s="25">
        <v>4.1875</v>
      </c>
      <c r="F23" s="25">
        <v>0.91249999999999998</v>
      </c>
      <c r="G23" s="5">
        <v>1</v>
      </c>
      <c r="H23" s="23">
        <f t="shared" ref="H23:I27" si="4">D23-D$6</f>
        <v>-6.2199999999999922E-2</v>
      </c>
      <c r="I23" s="37" t="s">
        <v>60</v>
      </c>
      <c r="J23" s="18" t="s">
        <v>47</v>
      </c>
      <c r="K23" s="19"/>
      <c r="L23" s="19"/>
      <c r="M23" s="19"/>
      <c r="N23" s="19"/>
      <c r="O23" s="19"/>
      <c r="P23" s="19"/>
    </row>
    <row r="24" spans="1:16" ht="18.75" x14ac:dyDescent="0.3">
      <c r="A24" s="4">
        <v>37</v>
      </c>
      <c r="B24" s="9" t="s">
        <v>8</v>
      </c>
      <c r="C24" s="5" t="s">
        <v>48</v>
      </c>
      <c r="D24" s="25">
        <v>0.46329999999999999</v>
      </c>
      <c r="E24" s="25">
        <v>4.3178999999999998</v>
      </c>
      <c r="F24" s="25">
        <v>0.8992</v>
      </c>
      <c r="G24" s="5">
        <v>1</v>
      </c>
      <c r="H24" s="23">
        <f t="shared" si="4"/>
        <v>-6.3399999999999956E-2</v>
      </c>
      <c r="I24" s="35" t="s">
        <v>29</v>
      </c>
      <c r="J24" s="8" t="s">
        <v>49</v>
      </c>
      <c r="K24" s="19"/>
      <c r="L24" s="19"/>
      <c r="M24" s="19"/>
      <c r="N24" s="19"/>
      <c r="O24" s="19"/>
      <c r="P24" s="19"/>
    </row>
    <row r="25" spans="1:16" s="19" customFormat="1" ht="18.75" x14ac:dyDescent="0.3">
      <c r="A25" s="4">
        <v>38</v>
      </c>
      <c r="B25" s="30" t="s">
        <v>50</v>
      </c>
      <c r="C25" s="12" t="s">
        <v>51</v>
      </c>
      <c r="D25" s="27">
        <v>0.4632</v>
      </c>
      <c r="E25" s="27">
        <v>4.3108000000000004</v>
      </c>
      <c r="F25" s="27">
        <v>0.91400000000000003</v>
      </c>
      <c r="G25" s="12">
        <v>1</v>
      </c>
      <c r="H25" s="23">
        <f t="shared" si="4"/>
        <v>-6.3499999999999945E-2</v>
      </c>
      <c r="I25" s="38" t="s">
        <v>44</v>
      </c>
      <c r="J25" s="12" t="s">
        <v>59</v>
      </c>
    </row>
    <row r="26" spans="1:16" ht="18.75" x14ac:dyDescent="0.3">
      <c r="A26" s="4">
        <v>46</v>
      </c>
      <c r="B26" s="9" t="s">
        <v>8</v>
      </c>
      <c r="C26" s="5" t="s">
        <v>52</v>
      </c>
      <c r="D26" s="25">
        <v>0.31919999999999998</v>
      </c>
      <c r="E26" s="25">
        <v>5.508</v>
      </c>
      <c r="F26" s="25">
        <v>0.86960000000000004</v>
      </c>
      <c r="G26" s="5">
        <v>1</v>
      </c>
      <c r="H26" s="23">
        <f>D26-D$6</f>
        <v>-0.20749999999999996</v>
      </c>
      <c r="I26" s="39" t="s">
        <v>60</v>
      </c>
      <c r="J26" s="18" t="s">
        <v>53</v>
      </c>
      <c r="K26" s="19"/>
      <c r="L26" s="19"/>
      <c r="M26" s="19"/>
      <c r="N26" s="19"/>
      <c r="O26" s="19"/>
      <c r="P26" s="19"/>
    </row>
    <row r="27" spans="1:16" s="19" customFormat="1" ht="18.75" x14ac:dyDescent="0.3">
      <c r="A27" s="4">
        <v>48</v>
      </c>
      <c r="B27" s="31" t="s">
        <v>54</v>
      </c>
      <c r="C27" s="12" t="s">
        <v>55</v>
      </c>
      <c r="D27" s="27">
        <v>0.17979999999999999</v>
      </c>
      <c r="E27" s="27">
        <v>7.4055</v>
      </c>
      <c r="F27" s="27">
        <v>0.86799999999999999</v>
      </c>
      <c r="G27" s="12">
        <v>1</v>
      </c>
      <c r="H27" s="23">
        <f t="shared" si="4"/>
        <v>-0.34689999999999999</v>
      </c>
      <c r="I27" s="38" t="s">
        <v>56</v>
      </c>
      <c r="J27" s="17" t="s">
        <v>58</v>
      </c>
    </row>
    <row r="28" spans="1:16" ht="15.75" x14ac:dyDescent="0.25">
      <c r="A28" s="13"/>
      <c r="B28" s="14"/>
      <c r="C28" s="14"/>
      <c r="D28" s="15"/>
      <c r="E28" s="14"/>
      <c r="F28" s="14"/>
      <c r="G28" s="14"/>
      <c r="J28" s="14"/>
    </row>
  </sheetData>
  <autoFilter ref="A5:J29" xr:uid="{FE916E80-99BE-4E2B-8782-7EF96CB311D2}">
    <sortState xmlns:xlrd2="http://schemas.microsoft.com/office/spreadsheetml/2017/richdata2" ref="A6:J29">
      <sortCondition descending="1" ref="D5:D29"/>
    </sortState>
  </autoFilter>
  <pageMargins left="0.7" right="0.7" top="0.75" bottom="0.75" header="0.3" footer="0.3"/>
  <pageSetup orientation="portrait" horizontalDpi="0" verticalDpi="0"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Updated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Byron DeLaBarre</dc:creator>
  <cp:lastModifiedBy>Byron DeLaBarre</cp:lastModifiedBy>
  <dcterms:created xsi:type="dcterms:W3CDTF">2026-08-04T19:32:34Z</dcterms:created>
  <dcterms:modified xsi:type="dcterms:W3CDTF">2026-08-04T20:01:39Z</dcterms:modified>
</cp:coreProperties>
</file>